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file_sets/"/>
    </mc:Choice>
  </mc:AlternateContent>
  <xr:revisionPtr revIDLastSave="500" documentId="11_587EB3D71B45E0177FF2C098CBD99032A7A4BAFD" xr6:coauthVersionLast="47" xr6:coauthVersionMax="47" xr10:uidLastSave="{322464F9-5937-4E71-B208-DA957BA258AB}"/>
  <bookViews>
    <workbookView xWindow="17880" yWindow="3180" windowWidth="29040" windowHeight="17520" activeTab="1" xr2:uid="{00000000-000D-0000-FFFF-FFFF00000000}"/>
  </bookViews>
  <sheets>
    <sheet name="index_tranche_pair_trades" sheetId="1" r:id="rId1"/>
    <sheet name="Sheet1" sheetId="7" r:id="rId2"/>
    <sheet name="exposure_by_index" sheetId="2" r:id="rId3"/>
    <sheet name="exposure_by_ticker" sheetId="3" r:id="rId4"/>
    <sheet name="daily_pnl_pairs" sheetId="4" r:id="rId5"/>
    <sheet name="daily_pnl_close_pairs" sheetId="5" r:id="rId6"/>
    <sheet name="daily_pnl_hybrid" sheetId="6" r:id="rId7"/>
  </sheets>
  <definedNames>
    <definedName name="_xlnm._FilterDatabase" localSheetId="1" hidden="1">Sheet1!$C$1:$D$1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3" i="2"/>
  <c r="Q3" i="2" s="1"/>
  <c r="Q8" i="2" s="1"/>
  <c r="K4" i="2"/>
  <c r="Q4" i="2" s="1"/>
  <c r="K5" i="2"/>
  <c r="Q5" i="2" s="1"/>
  <c r="K6" i="2"/>
  <c r="Q6" i="2" s="1"/>
  <c r="K3" i="2"/>
  <c r="K8" i="2" s="1"/>
  <c r="E2" i="7"/>
  <c r="F2" i="7" s="1"/>
  <c r="E3" i="7"/>
  <c r="F3" i="7" s="1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E10" i="7"/>
  <c r="F10" i="7" s="1"/>
  <c r="E11" i="7"/>
  <c r="F11" i="7" s="1"/>
  <c r="E12" i="7"/>
  <c r="F12" i="7" s="1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60" i="7"/>
  <c r="F60" i="7" s="1"/>
  <c r="E61" i="7"/>
  <c r="F61" i="7" s="1"/>
  <c r="E62" i="7"/>
  <c r="F62" i="7" s="1"/>
  <c r="E63" i="7"/>
  <c r="F63" i="7" s="1"/>
  <c r="E64" i="7"/>
  <c r="F64" i="7" s="1"/>
  <c r="E65" i="7"/>
  <c r="F65" i="7" s="1"/>
  <c r="E66" i="7"/>
  <c r="F66" i="7" s="1"/>
  <c r="E67" i="7"/>
  <c r="F67" i="7" s="1"/>
  <c r="E68" i="7"/>
  <c r="F68" i="7" s="1"/>
  <c r="E69" i="7"/>
  <c r="F69" i="7" s="1"/>
  <c r="E70" i="7"/>
  <c r="F70" i="7" s="1"/>
  <c r="E71" i="7"/>
  <c r="F71" i="7" s="1"/>
  <c r="E72" i="7"/>
  <c r="F72" i="7" s="1"/>
  <c r="E73" i="7"/>
  <c r="F73" i="7" s="1"/>
  <c r="E74" i="7"/>
  <c r="F74" i="7" s="1"/>
  <c r="E75" i="7"/>
  <c r="F75" i="7" s="1"/>
  <c r="E76" i="7"/>
  <c r="F76" i="7" s="1"/>
  <c r="E77" i="7"/>
  <c r="F77" i="7" s="1"/>
  <c r="E78" i="7"/>
  <c r="F78" i="7" s="1"/>
  <c r="E79" i="7"/>
  <c r="F79" i="7" s="1"/>
  <c r="E80" i="7"/>
  <c r="F80" i="7" s="1"/>
  <c r="E81" i="7"/>
  <c r="F81" i="7" s="1"/>
  <c r="E82" i="7"/>
  <c r="F82" i="7" s="1"/>
  <c r="E83" i="7"/>
  <c r="F83" i="7" s="1"/>
  <c r="E84" i="7"/>
  <c r="F84" i="7" s="1"/>
  <c r="E85" i="7"/>
  <c r="F85" i="7" s="1"/>
  <c r="E86" i="7"/>
  <c r="F86" i="7" s="1"/>
  <c r="E87" i="7"/>
  <c r="F87" i="7" s="1"/>
  <c r="E88" i="7"/>
  <c r="F88" i="7" s="1"/>
  <c r="E89" i="7"/>
  <c r="F89" i="7" s="1"/>
  <c r="E90" i="7"/>
  <c r="F90" i="7" s="1"/>
  <c r="E91" i="7"/>
  <c r="F91" i="7" s="1"/>
  <c r="E92" i="7"/>
  <c r="F92" i="7" s="1"/>
  <c r="E93" i="7"/>
  <c r="F93" i="7" s="1"/>
  <c r="E94" i="7"/>
  <c r="F94" i="7" s="1"/>
  <c r="E95" i="7"/>
  <c r="F95" i="7" s="1"/>
  <c r="E96" i="7"/>
  <c r="F96" i="7" s="1"/>
  <c r="E97" i="7"/>
  <c r="F97" i="7" s="1"/>
  <c r="E98" i="7"/>
  <c r="F98" i="7" s="1"/>
  <c r="E99" i="7"/>
  <c r="F99" i="7" s="1"/>
  <c r="E100" i="7"/>
  <c r="F100" i="7" s="1"/>
  <c r="E101" i="7"/>
  <c r="F101" i="7" s="1"/>
  <c r="E102" i="7"/>
  <c r="F102" i="7" s="1"/>
  <c r="E103" i="7"/>
  <c r="F103" i="7" s="1"/>
  <c r="E104" i="7"/>
  <c r="F104" i="7" s="1"/>
  <c r="E105" i="7"/>
  <c r="F105" i="7" s="1"/>
  <c r="E106" i="7"/>
  <c r="F106" i="7" s="1"/>
  <c r="E107" i="7"/>
  <c r="F107" i="7" s="1"/>
  <c r="E108" i="7"/>
  <c r="F108" i="7" s="1"/>
  <c r="E109" i="7"/>
  <c r="F109" i="7" s="1"/>
  <c r="E110" i="7"/>
  <c r="F110" i="7" s="1"/>
  <c r="E111" i="7"/>
  <c r="F111" i="7" s="1"/>
  <c r="E112" i="7"/>
  <c r="F112" i="7" s="1"/>
  <c r="E113" i="7"/>
  <c r="F113" i="7" s="1"/>
  <c r="E114" i="7"/>
  <c r="F114" i="7" s="1"/>
  <c r="E115" i="7"/>
  <c r="F115" i="7" s="1"/>
  <c r="E116" i="7"/>
  <c r="F116" i="7" s="1"/>
  <c r="E117" i="7"/>
  <c r="F117" i="7" s="1"/>
  <c r="E118" i="7"/>
  <c r="F118" i="7" s="1"/>
  <c r="E119" i="7"/>
  <c r="F119" i="7" s="1"/>
  <c r="E120" i="7"/>
  <c r="F120" i="7" s="1"/>
  <c r="E121" i="7"/>
  <c r="F121" i="7" s="1"/>
  <c r="E122" i="7"/>
  <c r="F122" i="7" s="1"/>
  <c r="E123" i="7"/>
  <c r="F123" i="7" s="1"/>
  <c r="E124" i="7"/>
  <c r="F124" i="7" s="1"/>
  <c r="E125" i="7"/>
  <c r="F125" i="7" s="1"/>
  <c r="E126" i="7"/>
  <c r="F126" i="7" s="1"/>
  <c r="E127" i="7"/>
  <c r="F127" i="7" s="1"/>
  <c r="E128" i="7"/>
  <c r="F128" i="7" s="1"/>
  <c r="E129" i="7"/>
  <c r="F129" i="7" s="1"/>
  <c r="E130" i="7"/>
  <c r="F130" i="7" s="1"/>
  <c r="E131" i="7"/>
  <c r="F131" i="7" s="1"/>
  <c r="E132" i="7"/>
  <c r="F132" i="7" s="1"/>
  <c r="E133" i="7"/>
  <c r="F133" i="7" s="1"/>
  <c r="E134" i="7"/>
  <c r="F134" i="7" s="1"/>
  <c r="E135" i="7"/>
  <c r="F135" i="7" s="1"/>
</calcChain>
</file>

<file path=xl/sharedStrings.xml><?xml version="1.0" encoding="utf-8"?>
<sst xmlns="http://schemas.openxmlformats.org/spreadsheetml/2006/main" count="1860" uniqueCount="1472">
  <si>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</si>
  <si>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</si>
  <si>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</si>
  <si>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</si>
  <si>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</si>
  <si>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</si>
  <si>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</si>
  <si>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</si>
  <si>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</si>
  <si>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</si>
  <si>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</si>
  <si>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</si>
  <si>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</si>
  <si>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</si>
  <si>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</si>
  <si>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</si>
  <si>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</si>
  <si>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</si>
  <si>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</si>
  <si>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</si>
  <si>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</si>
  <si>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</si>
  <si>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</si>
  <si>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</si>
  <si>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</si>
  <si>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</si>
  <si>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</si>
  <si>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</si>
  <si>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</si>
  <si>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</si>
  <si>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</si>
  <si>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ITRAXX XOVER</t>
  </si>
  <si>
    <t>0.0-1.0</t>
  </si>
  <si>
    <t>5Y</t>
  </si>
  <si>
    <t>Buy Protection</t>
  </si>
  <si>
    <t>CDX HY</t>
  </si>
  <si>
    <t>Sell Protection</t>
  </si>
  <si>
    <t>compression</t>
  </si>
  <si>
    <t>311,194 [23d] [408.0%]</t>
  </si>
  <si>
    <t>-99,061 [2d] [-1040.0%]</t>
  </si>
  <si>
    <t>146,988 [56.0%] [profitable:81.0%]</t>
  </si>
  <si>
    <t>Y (1,340,259)</t>
  </si>
  <si>
    <t>CDX IG</t>
  </si>
  <si>
    <t>317,199 [110d] [148.0%]</t>
  </si>
  <si>
    <t>10,743 [7d] [34.0%]</t>
  </si>
  <si>
    <t>299,435 [137.0%] [profitable:100.0%]</t>
  </si>
  <si>
    <t>Y (1,337,255)</t>
  </si>
  <si>
    <t>0.35-1.0</t>
  </si>
  <si>
    <t>52,355 [20d] [100.0%]</t>
  </si>
  <si>
    <t>-30,782 [7d] [-43.0%]</t>
  </si>
  <si>
    <t>34,583 [100.0%] [profitable:86.0%]</t>
  </si>
  <si>
    <t>-6,511 [41d] [-2.0%]</t>
  </si>
  <si>
    <t>-68,699 [1d] [-700.0%]</t>
  </si>
  <si>
    <t>-23,454 [-3.0%] [profitable:0.0%]</t>
  </si>
  <si>
    <t>100,822 [29d] [90.0%]</t>
  </si>
  <si>
    <t>-98,724 [3d] [-700.0%]</t>
  </si>
  <si>
    <t>91,951 [45.0%] [profitable:37.0%]</t>
  </si>
  <si>
    <t>8,041 [41d] [100.0%]</t>
  </si>
  <si>
    <t>-59,829 [1d] [-569.0%]</t>
  </si>
  <si>
    <t>-26,229 [-3.0%] [profitable:6.0%]</t>
  </si>
  <si>
    <t>15,271 [21d] [100.0%]</t>
  </si>
  <si>
    <t>-24,114 [3d] [-82.0%]</t>
  </si>
  <si>
    <t>-231 [-0.0%] [profitable:47.0%]</t>
  </si>
  <si>
    <t>123,846 [9d] [348.0%]</t>
  </si>
  <si>
    <t>-63,983 [1d] [-1553.0%]</t>
  </si>
  <si>
    <t>118,533 [78.0%] [profitable:79.0%]</t>
  </si>
  <si>
    <t>ITRAXX MAIN</t>
  </si>
  <si>
    <t>226,628 [15d] [453.0%]</t>
  </si>
  <si>
    <t>-32,687 [1d] [-959.0%]</t>
  </si>
  <si>
    <t>215,361 [193.0%] [profitable:92.0%]</t>
  </si>
  <si>
    <t>9,800 [8d] [100.0%]</t>
  </si>
  <si>
    <t>-29,103 [14d] [-19.0%]</t>
  </si>
  <si>
    <t>-10,159 [-4.0%] [profitable:33.0%]</t>
  </si>
  <si>
    <t>index</t>
  </si>
  <si>
    <t>0-2</t>
  </si>
  <si>
    <t>2-4</t>
  </si>
  <si>
    <t>4-6</t>
  </si>
  <si>
    <t>6-9</t>
  </si>
  <si>
    <t>9-11</t>
  </si>
  <si>
    <t>upfront</t>
  </si>
  <si>
    <t>bbg_cds_ticker</t>
  </si>
  <si>
    <t>cr01</t>
  </si>
  <si>
    <t>notional</t>
  </si>
  <si>
    <t>ticker</t>
  </si>
  <si>
    <t>issuer</t>
  </si>
  <si>
    <t>CAALL1E5</t>
  </si>
  <si>
    <t>AALLN</t>
  </si>
  <si>
    <t>Anglo American Capital PLC</t>
  </si>
  <si>
    <t>CABX1U5</t>
  </si>
  <si>
    <t>ABXCN</t>
  </si>
  <si>
    <t>Barrick Gold Corp</t>
  </si>
  <si>
    <t>CACC1E5</t>
  </si>
  <si>
    <t>ACFP</t>
  </si>
  <si>
    <t>Accor SA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</si>
  <si>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</si>
  <si>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</si>
  <si>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</si>
  <si>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</si>
  <si>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</si>
  <si>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</si>
  <si>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</si>
  <si>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</si>
  <si>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</si>
  <si>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</si>
  <si>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</si>
  <si>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</si>
  <si>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</si>
  <si>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</si>
  <si>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</si>
  <si>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</si>
  <si>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</si>
  <si>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</si>
  <si>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</si>
  <si>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</si>
  <si>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</si>
  <si>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</si>
  <si>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</si>
  <si>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</si>
  <si>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</si>
  <si>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</si>
  <si>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</si>
  <si>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</si>
  <si>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</si>
  <si>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</si>
  <si>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</si>
  <si>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</si>
  <si>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</si>
  <si>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</si>
  <si>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</si>
  <si>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</si>
  <si>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</si>
  <si>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</si>
  <si>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</si>
  <si>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</si>
  <si>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</si>
  <si>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</si>
  <si>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</si>
  <si>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</si>
  <si>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</si>
  <si>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</si>
  <si>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</si>
  <si>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</si>
  <si>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</si>
  <si>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</si>
  <si>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</si>
  <si>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</si>
  <si>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</si>
  <si>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</si>
  <si>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</si>
  <si>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</si>
  <si>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</si>
  <si>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</si>
  <si>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</si>
  <si>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</si>
  <si>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</si>
  <si>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</si>
  <si>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</si>
  <si>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CAVT1U5</t>
  </si>
  <si>
    <t>AVT</t>
  </si>
  <si>
    <t>Avnet Inc</t>
  </si>
  <si>
    <t>CAXA1E5</t>
  </si>
  <si>
    <t>AXASA</t>
  </si>
  <si>
    <t>AXA SA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</si>
  <si>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</si>
  <si>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</si>
  <si>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</si>
  <si>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</si>
  <si>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</si>
  <si>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</si>
  <si>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</si>
  <si>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</si>
  <si>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</si>
  <si>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</si>
  <si>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</si>
  <si>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</si>
  <si>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</si>
  <si>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</si>
  <si>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</si>
  <si>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</si>
  <si>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</si>
  <si>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</si>
  <si>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</si>
  <si>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</si>
  <si>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</si>
  <si>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</si>
  <si>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</si>
  <si>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</si>
  <si>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</si>
  <si>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</si>
  <si>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</si>
  <si>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</si>
  <si>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</si>
  <si>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</si>
  <si>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CBBY1U5</t>
  </si>
  <si>
    <t>BBY</t>
  </si>
  <si>
    <t>Best Buy Co Inc</t>
  </si>
  <si>
    <t>CBCI1E5</t>
  </si>
  <si>
    <t>ISPIM</t>
  </si>
  <si>
    <t>Intesa Sanpaolo SpA</t>
  </si>
  <si>
    <t>CBCR1E5</t>
  </si>
  <si>
    <t>BACRED</t>
  </si>
  <si>
    <t>Mediobanca SpA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</si>
  <si>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</si>
  <si>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</si>
  <si>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</si>
  <si>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</si>
  <si>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</si>
  <si>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</si>
  <si>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</si>
  <si>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</si>
  <si>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</si>
  <si>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</si>
  <si>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</si>
  <si>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</si>
  <si>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</si>
  <si>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</si>
  <si>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</si>
  <si>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</si>
  <si>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</si>
  <si>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</si>
  <si>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</si>
  <si>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</si>
  <si>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</si>
  <si>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</si>
  <si>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</si>
  <si>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</si>
  <si>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CBSN1E5</t>
  </si>
  <si>
    <t>BNFP</t>
  </si>
  <si>
    <t>Danone SA</t>
  </si>
  <si>
    <t>CBSX1U5</t>
  </si>
  <si>
    <t>BSX</t>
  </si>
  <si>
    <t>Boston Scientific Corp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</si>
  <si>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</si>
  <si>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</si>
  <si>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</si>
  <si>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</si>
  <si>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</si>
  <si>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</si>
  <si>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</si>
  <si>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</si>
  <si>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</si>
  <si>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</si>
  <si>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</si>
  <si>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</si>
  <si>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</si>
  <si>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</si>
  <si>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</si>
  <si>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</si>
  <si>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</si>
  <si>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</si>
  <si>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</si>
  <si>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ACAFP</t>
  </si>
  <si>
    <t>Credit Agricole Groupe</t>
  </si>
  <si>
    <t>CCARR1E5</t>
  </si>
  <si>
    <t>CAFP</t>
  </si>
  <si>
    <t>Carrefour SA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</si>
  <si>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</si>
  <si>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</si>
  <si>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</si>
  <si>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</si>
  <si>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</si>
  <si>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</si>
  <si>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</si>
  <si>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</si>
  <si>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</si>
  <si>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</si>
  <si>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</si>
  <si>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</si>
  <si>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</si>
  <si>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</si>
  <si>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</si>
  <si>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</si>
  <si>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</si>
  <si>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</si>
  <si>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</si>
  <si>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</si>
  <si>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</si>
  <si>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</si>
  <si>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</si>
  <si>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</si>
  <si>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</si>
  <si>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</si>
  <si>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</si>
  <si>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</si>
  <si>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</si>
  <si>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</si>
  <si>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</si>
  <si>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</si>
  <si>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</si>
  <si>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</si>
  <si>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</si>
  <si>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</si>
  <si>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</si>
  <si>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</si>
  <si>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</si>
  <si>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</si>
  <si>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</si>
  <si>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</si>
  <si>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</si>
  <si>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</si>
  <si>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</si>
  <si>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</si>
  <si>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</si>
  <si>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</si>
  <si>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</si>
  <si>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</si>
  <si>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</si>
  <si>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</si>
  <si>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</si>
  <si>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</si>
  <si>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CDB1E5</t>
  </si>
  <si>
    <t>DB</t>
  </si>
  <si>
    <t>Deutsche Bank AG</t>
  </si>
  <si>
    <t>CDCX1E5</t>
  </si>
  <si>
    <t>MBGGR</t>
  </si>
  <si>
    <t>Daimler AG</t>
  </si>
  <si>
    <t>CDE1U5</t>
  </si>
  <si>
    <t>DE</t>
  </si>
  <si>
    <t>Deere &amp; Co</t>
  </si>
  <si>
    <t>CDELL1U5</t>
  </si>
  <si>
    <t>DELL</t>
  </si>
  <si>
    <t>Dell Technologies Inc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</si>
  <si>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</si>
  <si>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</si>
  <si>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</si>
  <si>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</si>
  <si>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</si>
  <si>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</si>
  <si>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</si>
  <si>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</si>
  <si>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</si>
  <si>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</si>
  <si>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</si>
  <si>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</si>
  <si>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</si>
  <si>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</si>
  <si>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</si>
  <si>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</si>
  <si>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</si>
  <si>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</si>
  <si>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</si>
  <si>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</si>
  <si>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</si>
  <si>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</si>
  <si>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</si>
  <si>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</si>
  <si>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</si>
  <si>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</si>
  <si>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</si>
  <si>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</si>
  <si>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</si>
  <si>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</si>
  <si>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</si>
  <si>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</si>
  <si>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</si>
  <si>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</si>
  <si>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</si>
  <si>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</si>
  <si>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</si>
  <si>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</si>
  <si>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</si>
  <si>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</si>
  <si>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</si>
  <si>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</si>
  <si>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</si>
  <si>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</si>
  <si>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</si>
  <si>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</si>
  <si>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</si>
  <si>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</si>
  <si>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</si>
  <si>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</si>
  <si>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</si>
  <si>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</si>
  <si>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</si>
  <si>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</si>
  <si>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</si>
  <si>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</si>
  <si>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</si>
  <si>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</si>
  <si>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</si>
  <si>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</si>
  <si>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</si>
  <si>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</si>
  <si>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</si>
  <si>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</si>
  <si>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</si>
  <si>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</si>
  <si>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</si>
  <si>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</si>
  <si>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</si>
  <si>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</si>
  <si>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</si>
  <si>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</si>
  <si>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</si>
  <si>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</si>
  <si>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</si>
  <si>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</si>
  <si>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</si>
  <si>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</si>
  <si>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</si>
  <si>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</si>
  <si>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</si>
  <si>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</si>
  <si>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</si>
  <si>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</si>
  <si>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</si>
  <si>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</si>
  <si>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</si>
  <si>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</si>
  <si>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</si>
  <si>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</si>
  <si>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</si>
  <si>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</si>
  <si>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</si>
  <si>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</si>
  <si>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</si>
  <si>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</si>
  <si>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</si>
  <si>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</si>
  <si>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</si>
  <si>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</si>
  <si>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</si>
  <si>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</si>
  <si>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</si>
  <si>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</si>
  <si>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</si>
  <si>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</si>
  <si>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</si>
  <si>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</si>
  <si>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</si>
  <si>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</si>
  <si>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</si>
  <si>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</si>
  <si>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</si>
  <si>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</si>
  <si>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</si>
  <si>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</si>
  <si>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</si>
  <si>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</si>
  <si>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</si>
  <si>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</si>
  <si>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</si>
  <si>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</si>
  <si>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</si>
  <si>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</si>
  <si>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</si>
  <si>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</si>
  <si>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</si>
  <si>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</si>
  <si>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</si>
  <si>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</si>
  <si>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</si>
  <si>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CHAL1U5</t>
  </si>
  <si>
    <t>HAL</t>
  </si>
  <si>
    <t>Halliburton Co</t>
  </si>
  <si>
    <t>CHAN1E5</t>
  </si>
  <si>
    <t>HANRUE</t>
  </si>
  <si>
    <t>HDI Haftpflichtverband der Deutschen Industrie VaG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</si>
  <si>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</si>
  <si>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</si>
  <si>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</si>
  <si>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</si>
  <si>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</si>
  <si>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</si>
  <si>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</si>
  <si>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</si>
  <si>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</si>
  <si>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</si>
  <si>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</si>
  <si>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</si>
  <si>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CHNZ1U5</t>
  </si>
  <si>
    <t>KHC</t>
  </si>
  <si>
    <t>Kraft Heinz Co/The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</si>
  <si>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</si>
  <si>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</si>
  <si>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</si>
  <si>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</si>
  <si>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</si>
  <si>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</si>
  <si>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</si>
  <si>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</si>
  <si>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</si>
  <si>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</si>
  <si>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</si>
  <si>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</si>
  <si>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</si>
  <si>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</si>
  <si>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</si>
  <si>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</si>
  <si>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</si>
  <si>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</si>
  <si>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</si>
  <si>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</si>
  <si>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</si>
  <si>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</si>
  <si>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</si>
  <si>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</si>
  <si>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</si>
  <si>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</si>
  <si>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</si>
  <si>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</si>
  <si>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</si>
  <si>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</si>
  <si>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</si>
  <si>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</si>
  <si>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</si>
  <si>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</si>
  <si>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</si>
  <si>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</si>
  <si>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</si>
  <si>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</si>
  <si>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</si>
  <si>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</si>
  <si>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</si>
  <si>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</si>
  <si>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</si>
  <si>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</si>
  <si>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</si>
  <si>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</si>
  <si>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</si>
  <si>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</si>
  <si>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</si>
  <si>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</si>
  <si>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</si>
  <si>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</si>
  <si>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</si>
  <si>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</si>
  <si>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</si>
  <si>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</si>
  <si>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</si>
  <si>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</si>
  <si>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</si>
  <si>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</si>
  <si>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</si>
  <si>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</si>
  <si>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</si>
  <si>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</si>
  <si>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</si>
  <si>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</si>
  <si>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</si>
  <si>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</si>
  <si>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</si>
  <si>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</si>
  <si>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</si>
  <si>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</si>
  <si>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</si>
  <si>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</si>
  <si>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</si>
  <si>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</si>
  <si>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</si>
  <si>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</si>
  <si>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</si>
  <si>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</si>
  <si>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</si>
  <si>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</si>
  <si>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</si>
  <si>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</si>
  <si>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</si>
  <si>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</si>
  <si>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</si>
  <si>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</si>
  <si>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</si>
  <si>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</si>
  <si>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</si>
  <si>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</si>
  <si>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</si>
  <si>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</si>
  <si>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</si>
  <si>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</si>
  <si>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</si>
  <si>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</si>
  <si>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</si>
  <si>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</si>
  <si>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</si>
  <si>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</si>
  <si>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CMKS1E5</t>
  </si>
  <si>
    <t>MKSLN</t>
  </si>
  <si>
    <t>Marks &amp; Spencer Group PLC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</si>
  <si>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</si>
  <si>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</si>
  <si>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</si>
  <si>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</si>
  <si>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</si>
  <si>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</si>
  <si>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</si>
  <si>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</si>
  <si>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</si>
  <si>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CMTRO1E5</t>
  </si>
  <si>
    <t>MEOGR</t>
  </si>
  <si>
    <t>METRO AG</t>
  </si>
  <si>
    <t>CMURE1E5</t>
  </si>
  <si>
    <t>CMWP1E5</t>
  </si>
  <si>
    <t>MWDP</t>
  </si>
  <si>
    <t>Wendel SA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</si>
  <si>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</si>
  <si>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</si>
  <si>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</si>
  <si>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</si>
  <si>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</si>
  <si>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</si>
  <si>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</si>
  <si>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</si>
  <si>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</si>
  <si>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</si>
  <si>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</si>
  <si>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</si>
  <si>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</si>
  <si>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</si>
  <si>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</si>
  <si>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</si>
  <si>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</si>
  <si>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</si>
  <si>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</si>
  <si>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</si>
  <si>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</si>
  <si>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</si>
  <si>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</si>
  <si>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</si>
  <si>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</si>
  <si>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</si>
  <si>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</si>
  <si>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</si>
  <si>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</si>
  <si>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</si>
  <si>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</si>
  <si>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</si>
  <si>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</si>
  <si>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</si>
  <si>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</si>
  <si>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</si>
  <si>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</si>
  <si>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</si>
  <si>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</si>
  <si>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</si>
  <si>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</si>
  <si>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</si>
  <si>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</si>
  <si>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</si>
  <si>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</si>
  <si>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</si>
  <si>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</si>
  <si>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</si>
  <si>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</si>
  <si>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</si>
  <si>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</si>
  <si>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</si>
  <si>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</si>
  <si>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</si>
  <si>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</si>
  <si>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</si>
  <si>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</si>
  <si>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</si>
  <si>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</si>
  <si>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</si>
  <si>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</si>
  <si>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</si>
  <si>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</si>
  <si>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</si>
  <si>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</si>
  <si>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</si>
  <si>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</si>
  <si>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</si>
  <si>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</si>
  <si>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</si>
  <si>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</si>
  <si>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</si>
  <si>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</si>
  <si>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</si>
  <si>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</si>
  <si>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</si>
  <si>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</si>
  <si>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</si>
  <si>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CRCL1U5</t>
  </si>
  <si>
    <t>RCL</t>
  </si>
  <si>
    <t>Royal Caribbean Cruises Ltd</t>
  </si>
  <si>
    <t>CRDN1U5</t>
  </si>
  <si>
    <t>RDN</t>
  </si>
  <si>
    <t>Radian Group Inc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</si>
  <si>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</si>
  <si>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</si>
  <si>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</si>
  <si>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</si>
  <si>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</si>
  <si>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</si>
  <si>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</si>
  <si>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</si>
  <si>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</si>
  <si>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</si>
  <si>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</si>
  <si>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</si>
  <si>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CRUK1E5</t>
  </si>
  <si>
    <t>SRENVX</t>
  </si>
  <si>
    <t>Swiss Re AG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</si>
  <si>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</si>
  <si>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</si>
  <si>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</si>
  <si>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</si>
  <si>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</si>
  <si>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</si>
  <si>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</si>
  <si>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</si>
  <si>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</si>
  <si>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</si>
  <si>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</si>
  <si>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</si>
  <si>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</si>
  <si>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</si>
  <si>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</si>
  <si>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</si>
  <si>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</si>
  <si>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</si>
  <si>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</si>
  <si>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</si>
  <si>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</si>
  <si>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</si>
  <si>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</si>
  <si>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</si>
  <si>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</si>
  <si>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</si>
  <si>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</si>
  <si>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</si>
  <si>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</si>
  <si>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</si>
  <si>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</si>
  <si>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</si>
  <si>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</si>
  <si>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</si>
  <si>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</si>
  <si>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</si>
  <si>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</si>
  <si>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</si>
  <si>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</si>
  <si>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</si>
  <si>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</si>
  <si>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</si>
  <si>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</si>
  <si>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</si>
  <si>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</si>
  <si>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</si>
  <si>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</si>
  <si>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</si>
  <si>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</si>
  <si>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CSWY1U5</t>
  </si>
  <si>
    <t>NEWALB</t>
  </si>
  <si>
    <t>Albertsons Cos Inc</t>
  </si>
  <si>
    <t>CT350773</t>
  </si>
  <si>
    <t>TRPCN</t>
  </si>
  <si>
    <t>TransCanada Corp</t>
  </si>
  <si>
    <t>CT350857</t>
  </si>
  <si>
    <t>UNH</t>
  </si>
  <si>
    <t>UnitedHealth Group Inc</t>
  </si>
  <si>
    <t>CT352145</t>
  </si>
  <si>
    <t>LBTYA</t>
  </si>
  <si>
    <t>Liberty Global PLC</t>
  </si>
  <si>
    <t>CT353627</t>
  </si>
  <si>
    <t>UPS</t>
  </si>
  <si>
    <t>United Parcel Service Inc</t>
  </si>
  <si>
    <t>CT353808</t>
  </si>
  <si>
    <t>COF</t>
  </si>
  <si>
    <t>Capital One Financial Corp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</si>
  <si>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</si>
  <si>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</si>
  <si>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</si>
  <si>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</si>
  <si>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</si>
  <si>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</si>
  <si>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</si>
  <si>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</si>
  <si>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</si>
  <si>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</si>
  <si>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</si>
  <si>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</si>
  <si>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</si>
  <si>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</si>
  <si>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</si>
  <si>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</si>
  <si>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</si>
  <si>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</si>
  <si>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</si>
  <si>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</si>
  <si>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</si>
  <si>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</si>
  <si>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</si>
  <si>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</si>
  <si>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</si>
  <si>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</si>
  <si>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</si>
  <si>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</si>
  <si>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</si>
  <si>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</si>
  <si>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</si>
  <si>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</si>
  <si>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</si>
  <si>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</si>
  <si>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</si>
  <si>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</si>
  <si>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</si>
  <si>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</si>
  <si>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</si>
  <si>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</si>
  <si>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</si>
  <si>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</si>
  <si>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</si>
  <si>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</si>
  <si>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</si>
  <si>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</si>
  <si>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</si>
  <si>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</si>
  <si>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</si>
  <si>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</si>
  <si>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</si>
  <si>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</si>
  <si>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</si>
  <si>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</si>
  <si>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</si>
  <si>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</si>
  <si>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</si>
  <si>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</si>
  <si>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</si>
  <si>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</si>
  <si>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</si>
  <si>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</si>
  <si>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</si>
  <si>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</si>
  <si>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</si>
  <si>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</si>
  <si>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</si>
  <si>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</si>
  <si>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</si>
  <si>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</si>
  <si>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</si>
  <si>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</si>
  <si>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</si>
  <si>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</si>
  <si>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</si>
  <si>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</si>
  <si>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</si>
  <si>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</si>
  <si>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</si>
  <si>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</si>
  <si>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</si>
  <si>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CT370688</t>
  </si>
  <si>
    <t>BYD</t>
  </si>
  <si>
    <t>Boyd Gaming Corporation</t>
  </si>
  <si>
    <t>CT371596</t>
  </si>
  <si>
    <t>ARMK</t>
  </si>
  <si>
    <t>Aramark Services Inc.</t>
  </si>
  <si>
    <t>CT372104</t>
  </si>
  <si>
    <t>PCG</t>
  </si>
  <si>
    <t>PG&amp;E Corp</t>
  </si>
  <si>
    <t>CT373332</t>
  </si>
  <si>
    <t>MUR</t>
  </si>
  <si>
    <t>Murphy Oil Corp</t>
  </si>
  <si>
    <t>CT374328</t>
  </si>
  <si>
    <t>TCKBCN</t>
  </si>
  <si>
    <t>Teck Resources Ltd</t>
  </si>
  <si>
    <t>CT413383</t>
  </si>
  <si>
    <t>NWG</t>
  </si>
  <si>
    <t>Royal Bank of Scotland PLC/The</t>
  </si>
  <si>
    <t>CT706822</t>
  </si>
  <si>
    <t>LLOYDS</t>
  </si>
  <si>
    <t>Lloyds Banking Group PLC</t>
  </si>
  <si>
    <t>CT716410</t>
  </si>
  <si>
    <t>SZUGR</t>
  </si>
  <si>
    <t>Sueddeutsche Zuckerruebenverwertungs-Genossenschaft eG</t>
  </si>
  <si>
    <t>CT761604</t>
  </si>
  <si>
    <t>STENA</t>
  </si>
  <si>
    <t>Stena AB</t>
  </si>
  <si>
    <t>CT778455</t>
  </si>
  <si>
    <t>ROLLS</t>
  </si>
  <si>
    <t>Rolls-Royce Holdings PLC</t>
  </si>
  <si>
    <t>CT786869</t>
  </si>
  <si>
    <t>HSBC</t>
  </si>
  <si>
    <t>HSBC Holdings PLC</t>
  </si>
  <si>
    <t>CT969786</t>
  </si>
  <si>
    <t>New Albertsons LP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</si>
  <si>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</si>
  <si>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</si>
  <si>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</si>
  <si>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</si>
  <si>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</si>
  <si>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</si>
  <si>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</si>
  <si>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</si>
  <si>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</si>
  <si>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</si>
  <si>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</si>
  <si>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</si>
  <si>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</si>
  <si>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</si>
  <si>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</si>
  <si>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</si>
  <si>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</si>
  <si>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</si>
  <si>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</si>
  <si>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</si>
  <si>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</si>
  <si>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</si>
  <si>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</si>
  <si>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</si>
  <si>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</si>
  <si>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</si>
  <si>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</si>
  <si>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</si>
  <si>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</si>
  <si>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</si>
  <si>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</si>
  <si>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</si>
  <si>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</si>
  <si>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</si>
  <si>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</si>
  <si>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</si>
  <si>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</si>
  <si>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</si>
  <si>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</si>
  <si>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</si>
  <si>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</si>
  <si>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</si>
  <si>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</si>
  <si>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</si>
  <si>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</si>
  <si>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</si>
  <si>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</si>
  <si>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</si>
  <si>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</si>
  <si>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CUNB1E5</t>
  </si>
  <si>
    <t>ULFP</t>
  </si>
  <si>
    <t>Unibail-Rodamco SE</t>
  </si>
  <si>
    <t>CUNI1E5</t>
  </si>
  <si>
    <t>UCGIM</t>
  </si>
  <si>
    <t>UniCredit SpA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</si>
  <si>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</si>
  <si>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</si>
  <si>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</si>
  <si>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</si>
  <si>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</si>
  <si>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</si>
  <si>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</si>
  <si>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</si>
  <si>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</si>
  <si>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</si>
  <si>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</si>
  <si>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</si>
  <si>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</si>
  <si>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</si>
  <si>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</si>
  <si>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</si>
  <si>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</si>
  <si>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</si>
  <si>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</si>
  <si>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</si>
  <si>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</si>
  <si>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</si>
  <si>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VIVFP</t>
  </si>
  <si>
    <t>Vivendi SA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</si>
  <si>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</si>
  <si>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</si>
  <si>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</si>
  <si>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</si>
  <si>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</si>
  <si>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</si>
  <si>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</si>
  <si>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</si>
  <si>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</si>
  <si>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</si>
  <si>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</si>
  <si>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</si>
  <si>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</si>
  <si>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</si>
  <si>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</si>
  <si>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</si>
  <si>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</si>
  <si>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</si>
  <si>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</si>
  <si>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</si>
  <si>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</si>
  <si>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</si>
  <si>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</si>
  <si>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</si>
  <si>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</si>
  <si>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</si>
  <si>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</si>
  <si>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</si>
  <si>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</si>
  <si>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</si>
  <si>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</si>
  <si>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</si>
  <si>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</si>
  <si>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</si>
  <si>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</si>
  <si>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</si>
  <si>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</si>
  <si>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</si>
  <si>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</si>
  <si>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</si>
  <si>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</si>
  <si>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</si>
  <si>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</si>
  <si>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</si>
  <si>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</si>
  <si>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</si>
  <si>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</si>
  <si>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</si>
  <si>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</si>
  <si>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</si>
  <si>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</si>
  <si>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</si>
  <si>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</si>
  <si>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</si>
  <si>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</si>
  <si>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</si>
  <si>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</si>
  <si>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</si>
  <si>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</si>
  <si>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</si>
  <si>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</si>
  <si>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</si>
  <si>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</si>
  <si>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</si>
  <si>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</si>
  <si>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</si>
  <si>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</si>
  <si>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</si>
  <si>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</si>
  <si>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</si>
  <si>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</si>
  <si>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</si>
  <si>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</si>
  <si>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</si>
  <si>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</si>
  <si>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</si>
  <si>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</si>
  <si>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</si>
  <si>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</si>
  <si>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</si>
  <si>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</si>
  <si>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</si>
  <si>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</si>
  <si>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</si>
  <si>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</si>
  <si>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</si>
  <si>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</si>
  <si>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</si>
  <si>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</si>
  <si>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</si>
  <si>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</si>
  <si>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</si>
  <si>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</si>
  <si>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</si>
  <si>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CY074425</t>
  </si>
  <si>
    <t>WBA</t>
  </si>
  <si>
    <t>Walgreens Boots Alliance Inc</t>
  </si>
  <si>
    <t>CY075977</t>
  </si>
  <si>
    <t>GM</t>
  </si>
  <si>
    <t>General Motors Co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</si>
  <si>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</si>
  <si>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</si>
  <si>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</si>
  <si>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</si>
  <si>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</si>
  <si>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</si>
  <si>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</si>
  <si>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</si>
  <si>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</si>
  <si>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</si>
  <si>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</si>
  <si>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</si>
  <si>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</si>
  <si>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</si>
  <si>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</si>
  <si>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</si>
  <si>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</si>
  <si>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</si>
  <si>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</si>
  <si>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</si>
  <si>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</si>
  <si>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</si>
  <si>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</si>
  <si>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</si>
  <si>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</si>
  <si>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</si>
  <si>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</si>
  <si>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CY188846</t>
  </si>
  <si>
    <t>ATCNA</t>
  </si>
  <si>
    <t>Altice NV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</si>
  <si>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</si>
  <si>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</si>
  <si>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</si>
  <si>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</si>
  <si>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</si>
  <si>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</si>
  <si>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</si>
  <si>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</si>
  <si>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</si>
  <si>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</si>
  <si>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</si>
  <si>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</si>
  <si>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</si>
  <si>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</si>
  <si>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</si>
  <si>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</si>
  <si>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</si>
  <si>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</si>
  <si>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</si>
  <si>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</si>
  <si>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</si>
  <si>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</si>
  <si>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</si>
  <si>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</si>
  <si>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</si>
  <si>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</si>
  <si>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</si>
  <si>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</si>
  <si>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</si>
  <si>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</si>
  <si>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</si>
  <si>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</si>
  <si>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</si>
  <si>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</si>
  <si>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</si>
  <si>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</si>
  <si>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</si>
  <si>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CY316358</t>
  </si>
  <si>
    <t>IGT</t>
  </si>
  <si>
    <t>International Game Technology PLC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</si>
  <si>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</si>
  <si>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</si>
  <si>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</si>
  <si>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</si>
  <si>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</si>
  <si>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</si>
  <si>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</si>
  <si>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</si>
  <si>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</si>
  <si>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</si>
  <si>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</si>
  <si>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</si>
  <si>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CY325977</t>
  </si>
  <si>
    <t>ET</t>
  </si>
  <si>
    <t>Energy Transfer Equity LP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</si>
  <si>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</si>
  <si>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</si>
  <si>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</si>
  <si>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</si>
  <si>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</si>
  <si>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</si>
  <si>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</si>
  <si>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</si>
  <si>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</si>
  <si>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</si>
  <si>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</si>
  <si>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</si>
  <si>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</si>
  <si>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</si>
  <si>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</si>
  <si>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CY350672</t>
  </si>
  <si>
    <t>UBS</t>
  </si>
  <si>
    <t>UBS Group AG</t>
  </si>
  <si>
    <t>CY351353</t>
  </si>
  <si>
    <t>GRFSM</t>
  </si>
  <si>
    <t>Grifols SA</t>
  </si>
  <si>
    <t>CY351443</t>
  </si>
  <si>
    <t>INTRUM</t>
  </si>
  <si>
    <t>Intrum Justitia AB</t>
  </si>
  <si>
    <t>CY351623</t>
  </si>
  <si>
    <t>ADRBID</t>
  </si>
  <si>
    <t>United Group BV</t>
  </si>
  <si>
    <t>CY351713</t>
  </si>
  <si>
    <t>OI</t>
  </si>
  <si>
    <t>O-I Glass Inc</t>
  </si>
  <si>
    <t>CY370383</t>
  </si>
  <si>
    <t>ADLERR</t>
  </si>
  <si>
    <t>ADLER Real Estate AG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</si>
  <si>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</si>
  <si>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</si>
  <si>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</si>
  <si>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</si>
  <si>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</si>
  <si>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</si>
  <si>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</si>
  <si>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</si>
  <si>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</si>
  <si>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</si>
  <si>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</si>
  <si>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</si>
  <si>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CY399976</t>
  </si>
  <si>
    <t>VodafoneZiggo Group Holding BV</t>
  </si>
  <si>
    <t>CY419301</t>
  </si>
  <si>
    <t>EOFP</t>
  </si>
  <si>
    <t>Faurecia</t>
  </si>
  <si>
    <t>CY430095</t>
  </si>
  <si>
    <t>DIS</t>
  </si>
  <si>
    <t>Walt Disney Co/The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</si>
  <si>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</si>
  <si>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</si>
  <si>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</si>
  <si>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</si>
  <si>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</si>
  <si>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</si>
  <si>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</si>
  <si>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</si>
  <si>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</si>
  <si>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</si>
  <si>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</si>
  <si>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</si>
  <si>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</si>
  <si>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</si>
  <si>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</si>
  <si>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</si>
  <si>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</si>
  <si>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</si>
  <si>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CY459512</t>
  </si>
  <si>
    <t>AR</t>
  </si>
  <si>
    <t>Antero Resources Corp</t>
  </si>
  <si>
    <t>CY460646</t>
  </si>
  <si>
    <t>CLF</t>
  </si>
  <si>
    <t>Cliffs Natural Resources Inc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</si>
  <si>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</si>
  <si>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</si>
  <si>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</si>
  <si>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</si>
  <si>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</si>
  <si>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</si>
  <si>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</si>
  <si>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</si>
  <si>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</si>
  <si>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</si>
  <si>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</si>
  <si>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</si>
  <si>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</si>
  <si>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</si>
  <si>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</si>
  <si>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</si>
  <si>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</si>
  <si>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</si>
  <si>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</si>
  <si>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UNANA</t>
  </si>
  <si>
    <t>Unilever PLC</t>
  </si>
  <si>
    <t>CY503715</t>
  </si>
  <si>
    <t>THYELE</t>
  </si>
  <si>
    <t>Vertical Holdco GmbH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</si>
  <si>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</si>
  <si>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</si>
  <si>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</si>
  <si>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</si>
  <si>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</si>
  <si>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</si>
  <si>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</si>
  <si>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</si>
  <si>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</si>
  <si>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</si>
  <si>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</si>
  <si>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</si>
  <si>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</si>
  <si>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</si>
  <si>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</si>
  <si>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</si>
  <si>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</si>
  <si>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</si>
  <si>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</si>
  <si>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</si>
  <si>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</si>
  <si>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</si>
  <si>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</si>
  <si>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</si>
  <si>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</si>
  <si>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</si>
  <si>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</si>
  <si>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</si>
  <si>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</si>
  <si>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</si>
  <si>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</si>
  <si>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</si>
  <si>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</si>
  <si>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</si>
  <si>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</si>
  <si>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</si>
  <si>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</si>
  <si>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CY866065</t>
  </si>
  <si>
    <t>COMM</t>
  </si>
  <si>
    <t>CommScope Holding Co Inc</t>
  </si>
  <si>
    <t>CY876602</t>
  </si>
  <si>
    <t>CWCLN</t>
  </si>
  <si>
    <t>C&amp;W Senior Financing Designated Activity Co</t>
  </si>
  <si>
    <t>CY876619</t>
  </si>
  <si>
    <t>INEGRP</t>
  </si>
  <si>
    <t>INEOS Ltd</t>
  </si>
  <si>
    <t>CY876636</t>
  </si>
  <si>
    <t>NJJSAP</t>
  </si>
  <si>
    <t>NJJ Capital SASU</t>
  </si>
  <si>
    <t>CY876674</t>
  </si>
  <si>
    <t>MPW</t>
  </si>
  <si>
    <t>Medical Properties Trust Inc</t>
  </si>
  <si>
    <t>CY876759</t>
  </si>
  <si>
    <t>BMCAUS</t>
  </si>
  <si>
    <t>G Holdings Inc</t>
  </si>
  <si>
    <t>CY884122</t>
  </si>
  <si>
    <t>SAZKAG</t>
  </si>
  <si>
    <t>Allwyn Entertainment Financing UK PLC</t>
  </si>
  <si>
    <t>CY884156</t>
  </si>
  <si>
    <t>CHEPDE</t>
  </si>
  <si>
    <t>Cheplapharm Arzneimittel GmbH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</si>
  <si>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</si>
  <si>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</si>
  <si>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</si>
  <si>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</si>
  <si>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</si>
  <si>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</si>
  <si>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</si>
  <si>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</si>
  <si>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</si>
  <si>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</si>
  <si>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</si>
  <si>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</si>
  <si>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</si>
  <si>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</si>
  <si>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</si>
  <si>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</si>
  <si>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</si>
  <si>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</si>
  <si>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</si>
  <si>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</si>
  <si>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</si>
  <si>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</si>
  <si>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</si>
  <si>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</si>
  <si>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</si>
  <si>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</si>
  <si>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</si>
  <si>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CY907035</t>
  </si>
  <si>
    <t>AVGO</t>
  </si>
  <si>
    <t>Broadcom Inc</t>
  </si>
  <si>
    <t>CY907103</t>
  </si>
  <si>
    <t>ALIANT</t>
  </si>
  <si>
    <t>Alliant Holdings LP</t>
  </si>
  <si>
    <t>CY907120</t>
  </si>
  <si>
    <t>APO</t>
  </si>
  <si>
    <t>Apollo Global Management LLC</t>
  </si>
  <si>
    <t>CY907177</t>
  </si>
  <si>
    <t>Clear Channel Outdoor Holdings Inc</t>
  </si>
  <si>
    <t>CYUM1U5</t>
  </si>
  <si>
    <t>YUM</t>
  </si>
  <si>
    <t>Yum! Brands Inc</t>
  </si>
  <si>
    <t>CZ028657</t>
  </si>
  <si>
    <t>WMIH</t>
  </si>
  <si>
    <t>WMIH Corp</t>
  </si>
  <si>
    <t>CZ028674</t>
  </si>
  <si>
    <t>NFE</t>
  </si>
  <si>
    <t>New Fortress Energy Inc</t>
  </si>
  <si>
    <t>CZUR1E5</t>
  </si>
  <si>
    <t>ZURNVX</t>
  </si>
  <si>
    <t>Zurich Insurance Group AG</t>
  </si>
  <si>
    <t>pricedate</t>
  </si>
  <si>
    <t>rolling_pnl</t>
  </si>
  <si>
    <t>net upfront</t>
  </si>
  <si>
    <t>rtn_outright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</si>
  <si>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</si>
  <si>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</si>
  <si>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</si>
  <si>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</si>
  <si>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</si>
  <si>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</si>
  <si>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</si>
  <si>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</si>
  <si>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</si>
  <si>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</si>
  <si>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</si>
  <si>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</si>
  <si>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</si>
  <si>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</si>
  <si>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</si>
  <si>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</si>
  <si>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</si>
  <si>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</si>
  <si>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</si>
  <si>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</si>
  <si>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</si>
  <si>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</si>
  <si>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</si>
  <si>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</si>
  <si>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</si>
  <si>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</si>
  <si>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</si>
  <si>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</si>
  <si>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</si>
  <si>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</si>
  <si>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</si>
  <si>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</si>
  <si>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</si>
  <si>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</si>
  <si>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</si>
  <si>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</si>
  <si>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</si>
  <si>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</si>
  <si>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</si>
  <si>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</si>
  <si>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</si>
  <si>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</si>
  <si>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</si>
  <si>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</si>
  <si>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</si>
  <si>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</si>
  <si>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</si>
  <si>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</si>
  <si>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</si>
  <si>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</si>
  <si>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</si>
  <si>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</si>
  <si>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</si>
  <si>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</si>
  <si>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</si>
  <si>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</si>
  <si>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</si>
  <si>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</si>
  <si>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</si>
  <si>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</si>
  <si>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</si>
  <si>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</si>
  <si>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</si>
  <si>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</si>
  <si>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</si>
  <si>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</si>
  <si>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</si>
  <si>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</si>
  <si>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</si>
  <si>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</si>
  <si>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</si>
  <si>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</si>
  <si>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</si>
  <si>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</si>
  <si>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</si>
  <si>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</si>
  <si>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</si>
  <si>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</si>
  <si>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</si>
  <si>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</si>
  <si>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</si>
  <si>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</si>
  <si>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</si>
  <si>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</si>
  <si>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</si>
  <si>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</si>
  <si>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Date</t>
  </si>
  <si>
    <t>PX_LAST</t>
  </si>
  <si>
    <t>Trade</t>
  </si>
  <si>
    <t>Trade Selected</t>
  </si>
  <si>
    <t>target reached</t>
  </si>
  <si>
    <t>target return pnl</t>
  </si>
  <si>
    <t>pnl to maturity</t>
  </si>
  <si>
    <t>pnl to maturity post defaults</t>
  </si>
  <si>
    <t>index hedge notional</t>
  </si>
  <si>
    <t>carry (annual)</t>
  </si>
  <si>
    <t>expected default loss (annual)</t>
  </si>
  <si>
    <t>spread</t>
  </si>
  <si>
    <t>hedge carry (annual)</t>
  </si>
  <si>
    <t>Duration Buckets (absolute CR01)</t>
  </si>
  <si>
    <t>Final Net Return (annual)</t>
  </si>
  <si>
    <t>PnL (If fully hedged):</t>
  </si>
  <si>
    <t>PnL:</t>
  </si>
  <si>
    <t>expected net carry return (annual)</t>
  </si>
  <si>
    <t>Trade #</t>
  </si>
  <si>
    <t>ITRAXX XOVER 41 5Y</t>
  </si>
  <si>
    <t>Buy</t>
  </si>
  <si>
    <t>CDX HY 43 5Y</t>
  </si>
  <si>
    <t>Sell</t>
  </si>
  <si>
    <t>CDX IG 42 5Y</t>
  </si>
  <si>
    <t>CDX HY 42 5Y</t>
  </si>
  <si>
    <t>ITRAXX MAIN 41 5Y</t>
  </si>
  <si>
    <t>B/S 1</t>
  </si>
  <si>
    <t>B/S 2</t>
  </si>
  <si>
    <t>Cash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</si>
</sst>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\ hh:mm:ss"/>
    <numFmt numFmtId="165" formatCode="_-* #,##0_-;\-* #,##0_-;_-* &quot;-&quot;??_-;_-@_-"/>
    <numFmt numFmtId="167" formatCode="[$-F800]dddd\,\ mmmm\ dd\,\ yyyy"/>
  </numFmts>
  <fonts count="2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i/>
      <sz val="8"/>
      <name val="Calibri"/>
      <family val="2"/>
    </font>
    <font>
      <i/>
      <sz val="8"/>
      <color theme="1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5" applyNumberFormat="0" applyAlignment="0" applyProtection="0"/>
    <xf numFmtId="0" fontId="9" fillId="6" borderId="6" applyNumberFormat="0" applyAlignment="0" applyProtection="0"/>
    <xf numFmtId="0" fontId="10" fillId="6" borderId="5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9" fillId="4" borderId="0" applyNumberFormat="0" applyBorder="0" applyAlignment="0" applyProtection="0"/>
    <xf numFmtId="0" fontId="18" fillId="0" borderId="0" applyNumberFormat="0" applyFill="0" applyBorder="0" applyAlignment="0" applyProtection="0"/>
    <xf numFmtId="22" fontId="17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1" applyNumberFormat="1" applyFont="1"/>
    <xf numFmtId="14" fontId="0" fillId="0" borderId="0" xfId="0" applyNumberFormat="1"/>
    <xf numFmtId="0" fontId="20" fillId="0" borderId="0" xfId="0" applyFont="1"/>
    <xf numFmtId="0" fontId="22" fillId="0" borderId="1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2" fillId="0" borderId="17" xfId="0" applyFont="1" applyBorder="1" applyAlignment="1">
      <alignment horizontal="center" vertical="center" wrapText="1"/>
    </xf>
    <xf numFmtId="0" fontId="20" fillId="0" borderId="1" xfId="0" applyFont="1" applyBorder="1"/>
    <xf numFmtId="165" fontId="20" fillId="0" borderId="1" xfId="1" applyNumberFormat="1" applyFont="1" applyBorder="1"/>
    <xf numFmtId="165" fontId="20" fillId="0" borderId="16" xfId="1" applyNumberFormat="1" applyFont="1" applyBorder="1"/>
    <xf numFmtId="165" fontId="20" fillId="0" borderId="18" xfId="1" applyNumberFormat="1" applyFont="1" applyBorder="1"/>
    <xf numFmtId="165" fontId="20" fillId="0" borderId="18" xfId="0" applyNumberFormat="1" applyFont="1" applyBorder="1"/>
    <xf numFmtId="0" fontId="20" fillId="0" borderId="13" xfId="0" applyFont="1" applyBorder="1"/>
    <xf numFmtId="0" fontId="23" fillId="0" borderId="14" xfId="0" applyFont="1" applyBorder="1" applyAlignment="1">
      <alignment horizontal="right"/>
    </xf>
    <xf numFmtId="165" fontId="23" fillId="0" borderId="11" xfId="0" applyNumberFormat="1" applyFont="1" applyBorder="1"/>
    <xf numFmtId="165" fontId="23" fillId="0" borderId="11" xfId="1" applyNumberFormat="1" applyFont="1" applyBorder="1"/>
    <xf numFmtId="0" fontId="24" fillId="0" borderId="1" xfId="0" applyFont="1" applyBorder="1" applyAlignment="1">
      <alignment horizontal="center" vertical="center" wrapText="1"/>
    </xf>
    <xf numFmtId="165" fontId="25" fillId="0" borderId="1" xfId="1" applyNumberFormat="1" applyFont="1" applyFill="1" applyBorder="1"/>
    <xf numFmtId="0" fontId="21" fillId="0" borderId="1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15" fillId="0" borderId="1" xfId="0" applyFont="1" applyBorder="1"/>
    <xf numFmtId="167" fontId="0" fillId="0" borderId="1" xfId="0" applyNumberFormat="1" applyBorder="1"/>
    <xf numFmtId="0" fontId="0" fillId="0" borderId="1" xfId="0" applyBorder="1"/>
    <xf numFmtId="165" fontId="0" fillId="0" borderId="1" xfId="1" applyNumberFormat="1" applyFont="1" applyBorder="1"/>
    <xf numFmtId="0" fontId="1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top" wrapText="1"/>
    </xf>
  </cellXfs>
  <cellStyles count="45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5" xr:uid="{5669D736-1911-4A73-B91E-8B0F0CF7080A}"/>
    <cellStyle name="60% - Accent2 2" xfId="36" xr:uid="{5066E6C4-53CC-4CCA-95E6-B28DCA2E5F70}"/>
    <cellStyle name="60% - Accent3 2" xfId="37" xr:uid="{E21177EA-A36E-4619-9D7D-E142231289A7}"/>
    <cellStyle name="60% - Accent4 2" xfId="38" xr:uid="{E7243DD1-C93B-44D2-89A6-FC82D45BE104}"/>
    <cellStyle name="60% - Accent5 2" xfId="39" xr:uid="{1C0F68CD-9A7D-4E7E-9994-F5CA575EAEB4}"/>
    <cellStyle name="60% - Accent6 2" xfId="40" xr:uid="{85847108-2EDC-447B-9A3F-736C45142D2B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blp_datetime" xfId="43" xr:uid="{019F6B6D-73C1-46B8-859C-7BF89FF82A43}"/>
    <cellStyle name="Calculation" xfId="10" builtinId="22" customBuiltin="1"/>
    <cellStyle name="Check Cell" xfId="12" builtinId="23" customBuiltin="1"/>
    <cellStyle name="Comma" xfId="1" builtinId="3"/>
    <cellStyle name="Comma 2" xfId="44" xr:uid="{37905A32-7E5E-45F3-8DA9-7CBB0D24F9E7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41" xr:uid="{849E2A6B-C992-44D9-81A1-5C18BA973952}"/>
    <cellStyle name="Normal" xfId="0" builtinId="0"/>
    <cellStyle name="Note" xfId="14" builtinId="10" customBuiltin="1"/>
    <cellStyle name="Output" xfId="9" builtinId="21" customBuiltin="1"/>
    <cellStyle name="Title 2" xfId="42" xr:uid="{E1EDD64A-9942-42E5-976F-FC2EB5CD80C0}"/>
    <cellStyle name="Total" xfId="16" builtinId="25" customBuiltin="1"/>
    <cellStyle name="Warning Text" xfId="1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Trade Dates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Sheet1!$F$1</c:f>
              <c:strCache>
                <c:ptCount val="1"/>
                <c:pt idx="0">
                  <c:v>Trade Selected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Sheet1!$F$1:$F$135</c:f>
              <c:numCache>
                <c:formatCode>General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77.337000000000003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73.503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58.192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61.43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56.274999999999999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55.526000000000003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56.823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57.622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CA-4ED7-8BF9-E881A4AF8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687008"/>
        <c:axId val="1550688448"/>
      </c:barChart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PX_LAST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Sheet1!$C$2:$C$135</c:f>
              <c:numCache>
                <c:formatCode>m/d/yyyy</c:formatCode>
                <c:ptCount val="134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45754</c:v>
                </c:pt>
                <c:pt idx="5">
                  <c:v>45755</c:v>
                </c:pt>
                <c:pt idx="6">
                  <c:v>45756</c:v>
                </c:pt>
                <c:pt idx="7">
                  <c:v>45757</c:v>
                </c:pt>
                <c:pt idx="8">
                  <c:v>45758</c:v>
                </c:pt>
                <c:pt idx="9">
                  <c:v>45761</c:v>
                </c:pt>
                <c:pt idx="10">
                  <c:v>45762</c:v>
                </c:pt>
                <c:pt idx="11">
                  <c:v>45763</c:v>
                </c:pt>
                <c:pt idx="12">
                  <c:v>45764</c:v>
                </c:pt>
                <c:pt idx="13">
                  <c:v>45769</c:v>
                </c:pt>
                <c:pt idx="14">
                  <c:v>45770</c:v>
                </c:pt>
                <c:pt idx="15">
                  <c:v>45771</c:v>
                </c:pt>
                <c:pt idx="16">
                  <c:v>45772</c:v>
                </c:pt>
                <c:pt idx="17">
                  <c:v>45775</c:v>
                </c:pt>
                <c:pt idx="18">
                  <c:v>45776</c:v>
                </c:pt>
                <c:pt idx="19">
                  <c:v>45777</c:v>
                </c:pt>
                <c:pt idx="20">
                  <c:v>45778</c:v>
                </c:pt>
                <c:pt idx="21">
                  <c:v>45779</c:v>
                </c:pt>
                <c:pt idx="22">
                  <c:v>45783</c:v>
                </c:pt>
                <c:pt idx="23">
                  <c:v>45784</c:v>
                </c:pt>
                <c:pt idx="24">
                  <c:v>45785</c:v>
                </c:pt>
                <c:pt idx="25">
                  <c:v>45786</c:v>
                </c:pt>
                <c:pt idx="26">
                  <c:v>45789</c:v>
                </c:pt>
                <c:pt idx="27">
                  <c:v>45790</c:v>
                </c:pt>
                <c:pt idx="28">
                  <c:v>45791</c:v>
                </c:pt>
                <c:pt idx="29">
                  <c:v>45792</c:v>
                </c:pt>
                <c:pt idx="30">
                  <c:v>45793</c:v>
                </c:pt>
                <c:pt idx="31">
                  <c:v>45796</c:v>
                </c:pt>
                <c:pt idx="32">
                  <c:v>45797</c:v>
                </c:pt>
                <c:pt idx="33">
                  <c:v>45798</c:v>
                </c:pt>
                <c:pt idx="34">
                  <c:v>45799</c:v>
                </c:pt>
                <c:pt idx="35">
                  <c:v>45800</c:v>
                </c:pt>
                <c:pt idx="36">
                  <c:v>45804</c:v>
                </c:pt>
                <c:pt idx="37">
                  <c:v>45805</c:v>
                </c:pt>
                <c:pt idx="38">
                  <c:v>45806</c:v>
                </c:pt>
                <c:pt idx="39">
                  <c:v>45807</c:v>
                </c:pt>
                <c:pt idx="40">
                  <c:v>45810</c:v>
                </c:pt>
                <c:pt idx="41">
                  <c:v>45811</c:v>
                </c:pt>
                <c:pt idx="42">
                  <c:v>45812</c:v>
                </c:pt>
                <c:pt idx="43">
                  <c:v>45813</c:v>
                </c:pt>
                <c:pt idx="44">
                  <c:v>45814</c:v>
                </c:pt>
                <c:pt idx="45">
                  <c:v>45817</c:v>
                </c:pt>
                <c:pt idx="46">
                  <c:v>45818</c:v>
                </c:pt>
                <c:pt idx="47">
                  <c:v>45819</c:v>
                </c:pt>
                <c:pt idx="48">
                  <c:v>45820</c:v>
                </c:pt>
                <c:pt idx="49">
                  <c:v>45821</c:v>
                </c:pt>
                <c:pt idx="50">
                  <c:v>45824</c:v>
                </c:pt>
                <c:pt idx="51">
                  <c:v>45825</c:v>
                </c:pt>
                <c:pt idx="52">
                  <c:v>45826</c:v>
                </c:pt>
                <c:pt idx="53">
                  <c:v>45827</c:v>
                </c:pt>
                <c:pt idx="54">
                  <c:v>45828</c:v>
                </c:pt>
                <c:pt idx="55">
                  <c:v>45831</c:v>
                </c:pt>
                <c:pt idx="56">
                  <c:v>45832</c:v>
                </c:pt>
                <c:pt idx="57">
                  <c:v>45833</c:v>
                </c:pt>
                <c:pt idx="58">
                  <c:v>45834</c:v>
                </c:pt>
                <c:pt idx="59">
                  <c:v>45835</c:v>
                </c:pt>
                <c:pt idx="60">
                  <c:v>45838</c:v>
                </c:pt>
                <c:pt idx="61">
                  <c:v>45839</c:v>
                </c:pt>
                <c:pt idx="62">
                  <c:v>45840</c:v>
                </c:pt>
                <c:pt idx="63">
                  <c:v>45841</c:v>
                </c:pt>
                <c:pt idx="64">
                  <c:v>45842</c:v>
                </c:pt>
                <c:pt idx="65">
                  <c:v>45845</c:v>
                </c:pt>
                <c:pt idx="66">
                  <c:v>45846</c:v>
                </c:pt>
                <c:pt idx="67">
                  <c:v>45847</c:v>
                </c:pt>
                <c:pt idx="68">
                  <c:v>45848</c:v>
                </c:pt>
                <c:pt idx="69">
                  <c:v>45849</c:v>
                </c:pt>
                <c:pt idx="70">
                  <c:v>45852</c:v>
                </c:pt>
                <c:pt idx="71">
                  <c:v>45853</c:v>
                </c:pt>
                <c:pt idx="72">
                  <c:v>45854</c:v>
                </c:pt>
                <c:pt idx="73">
                  <c:v>45855</c:v>
                </c:pt>
                <c:pt idx="74">
                  <c:v>45856</c:v>
                </c:pt>
                <c:pt idx="75">
                  <c:v>45859</c:v>
                </c:pt>
                <c:pt idx="76">
                  <c:v>45860</c:v>
                </c:pt>
                <c:pt idx="77">
                  <c:v>45861</c:v>
                </c:pt>
                <c:pt idx="78">
                  <c:v>45862</c:v>
                </c:pt>
                <c:pt idx="79">
                  <c:v>45863</c:v>
                </c:pt>
                <c:pt idx="80">
                  <c:v>45866</c:v>
                </c:pt>
                <c:pt idx="81">
                  <c:v>45867</c:v>
                </c:pt>
                <c:pt idx="82">
                  <c:v>45868</c:v>
                </c:pt>
                <c:pt idx="83">
                  <c:v>45869</c:v>
                </c:pt>
                <c:pt idx="84">
                  <c:v>45870</c:v>
                </c:pt>
                <c:pt idx="85">
                  <c:v>45873</c:v>
                </c:pt>
                <c:pt idx="86">
                  <c:v>45874</c:v>
                </c:pt>
                <c:pt idx="87">
                  <c:v>45875</c:v>
                </c:pt>
                <c:pt idx="88">
                  <c:v>45876</c:v>
                </c:pt>
                <c:pt idx="89">
                  <c:v>45877</c:v>
                </c:pt>
                <c:pt idx="90">
                  <c:v>45880</c:v>
                </c:pt>
                <c:pt idx="91">
                  <c:v>45881</c:v>
                </c:pt>
                <c:pt idx="92">
                  <c:v>45882</c:v>
                </c:pt>
                <c:pt idx="93">
                  <c:v>45883</c:v>
                </c:pt>
                <c:pt idx="94">
                  <c:v>45884</c:v>
                </c:pt>
                <c:pt idx="95">
                  <c:v>45887</c:v>
                </c:pt>
                <c:pt idx="96">
                  <c:v>45888</c:v>
                </c:pt>
                <c:pt idx="97">
                  <c:v>45889</c:v>
                </c:pt>
                <c:pt idx="98">
                  <c:v>45890</c:v>
                </c:pt>
                <c:pt idx="99">
                  <c:v>45891</c:v>
                </c:pt>
                <c:pt idx="100">
                  <c:v>45895</c:v>
                </c:pt>
                <c:pt idx="101">
                  <c:v>45896</c:v>
                </c:pt>
                <c:pt idx="102">
                  <c:v>45897</c:v>
                </c:pt>
                <c:pt idx="103">
                  <c:v>45898</c:v>
                </c:pt>
                <c:pt idx="104">
                  <c:v>45901</c:v>
                </c:pt>
                <c:pt idx="105">
                  <c:v>45902</c:v>
                </c:pt>
                <c:pt idx="106">
                  <c:v>45903</c:v>
                </c:pt>
                <c:pt idx="107">
                  <c:v>45904</c:v>
                </c:pt>
                <c:pt idx="108">
                  <c:v>45905</c:v>
                </c:pt>
                <c:pt idx="109">
                  <c:v>45908</c:v>
                </c:pt>
                <c:pt idx="110">
                  <c:v>45909</c:v>
                </c:pt>
                <c:pt idx="111">
                  <c:v>45910</c:v>
                </c:pt>
                <c:pt idx="112">
                  <c:v>45911</c:v>
                </c:pt>
                <c:pt idx="113">
                  <c:v>45912</c:v>
                </c:pt>
                <c:pt idx="114">
                  <c:v>45915</c:v>
                </c:pt>
                <c:pt idx="115">
                  <c:v>45916</c:v>
                </c:pt>
                <c:pt idx="116">
                  <c:v>45917</c:v>
                </c:pt>
                <c:pt idx="117">
                  <c:v>45918</c:v>
                </c:pt>
                <c:pt idx="118">
                  <c:v>45919</c:v>
                </c:pt>
                <c:pt idx="119">
                  <c:v>45922</c:v>
                </c:pt>
                <c:pt idx="120">
                  <c:v>45923</c:v>
                </c:pt>
                <c:pt idx="121">
                  <c:v>45924</c:v>
                </c:pt>
                <c:pt idx="122">
                  <c:v>45925</c:v>
                </c:pt>
                <c:pt idx="123">
                  <c:v>45926</c:v>
                </c:pt>
                <c:pt idx="124">
                  <c:v>45929</c:v>
                </c:pt>
                <c:pt idx="125">
                  <c:v>45930</c:v>
                </c:pt>
                <c:pt idx="126">
                  <c:v>45931</c:v>
                </c:pt>
                <c:pt idx="127">
                  <c:v>45932</c:v>
                </c:pt>
                <c:pt idx="128">
                  <c:v>45933</c:v>
                </c:pt>
                <c:pt idx="129">
                  <c:v>45936</c:v>
                </c:pt>
                <c:pt idx="130">
                  <c:v>45937</c:v>
                </c:pt>
                <c:pt idx="131">
                  <c:v>45938</c:v>
                </c:pt>
                <c:pt idx="132">
                  <c:v>45939</c:v>
                </c:pt>
                <c:pt idx="133">
                  <c:v>45940</c:v>
                </c:pt>
              </c:numCache>
            </c:numRef>
          </c:cat>
          <c:val>
            <c:numRef>
              <c:f>Sheet1!$D$2:$D$135</c:f>
              <c:numCache>
                <c:formatCode>General</c:formatCode>
                <c:ptCount val="134"/>
                <c:pt idx="0">
                  <c:v>63.209000000000003</c:v>
                </c:pt>
                <c:pt idx="1">
                  <c:v>63.631</c:v>
                </c:pt>
                <c:pt idx="2">
                  <c:v>68.501000000000005</c:v>
                </c:pt>
                <c:pt idx="3">
                  <c:v>77.266999999999996</c:v>
                </c:pt>
                <c:pt idx="4">
                  <c:v>79.796999999999997</c:v>
                </c:pt>
                <c:pt idx="5">
                  <c:v>77.337000000000003</c:v>
                </c:pt>
                <c:pt idx="6">
                  <c:v>85.346000000000004</c:v>
                </c:pt>
                <c:pt idx="7">
                  <c:v>77.715000000000003</c:v>
                </c:pt>
                <c:pt idx="8">
                  <c:v>76.881</c:v>
                </c:pt>
                <c:pt idx="9">
                  <c:v>73.503</c:v>
                </c:pt>
                <c:pt idx="10">
                  <c:v>71.760999999999996</c:v>
                </c:pt>
                <c:pt idx="11">
                  <c:v>71.765000000000001</c:v>
                </c:pt>
                <c:pt idx="12">
                  <c:v>71.841999999999999</c:v>
                </c:pt>
                <c:pt idx="13">
                  <c:v>71.143000000000001</c:v>
                </c:pt>
                <c:pt idx="14">
                  <c:v>68.599999999999994</c:v>
                </c:pt>
                <c:pt idx="15">
                  <c:v>67.007000000000005</c:v>
                </c:pt>
                <c:pt idx="16">
                  <c:v>65.930999999999997</c:v>
                </c:pt>
                <c:pt idx="17">
                  <c:v>66.117000000000004</c:v>
                </c:pt>
                <c:pt idx="18">
                  <c:v>66.606999999999999</c:v>
                </c:pt>
                <c:pt idx="19">
                  <c:v>68.236999999999995</c:v>
                </c:pt>
                <c:pt idx="20">
                  <c:v>66.713999999999999</c:v>
                </c:pt>
                <c:pt idx="21">
                  <c:v>64.915000000000006</c:v>
                </c:pt>
                <c:pt idx="22">
                  <c:v>64.156000000000006</c:v>
                </c:pt>
                <c:pt idx="23">
                  <c:v>63.927999999999997</c:v>
                </c:pt>
                <c:pt idx="24">
                  <c:v>61.637</c:v>
                </c:pt>
                <c:pt idx="25">
                  <c:v>61.392000000000003</c:v>
                </c:pt>
                <c:pt idx="26">
                  <c:v>58.100999999999999</c:v>
                </c:pt>
                <c:pt idx="27">
                  <c:v>55.704999999999998</c:v>
                </c:pt>
                <c:pt idx="28">
                  <c:v>56.732999999999997</c:v>
                </c:pt>
                <c:pt idx="29">
                  <c:v>56.901000000000003</c:v>
                </c:pt>
                <c:pt idx="30">
                  <c:v>57.341999999999999</c:v>
                </c:pt>
                <c:pt idx="31">
                  <c:v>57.064999999999998</c:v>
                </c:pt>
                <c:pt idx="32">
                  <c:v>56.456000000000003</c:v>
                </c:pt>
                <c:pt idx="33">
                  <c:v>56.975999999999999</c:v>
                </c:pt>
                <c:pt idx="34">
                  <c:v>58.192</c:v>
                </c:pt>
                <c:pt idx="35">
                  <c:v>61.015000000000001</c:v>
                </c:pt>
                <c:pt idx="36">
                  <c:v>57.72</c:v>
                </c:pt>
                <c:pt idx="37">
                  <c:v>57.828000000000003</c:v>
                </c:pt>
                <c:pt idx="38">
                  <c:v>57.710999999999999</c:v>
                </c:pt>
                <c:pt idx="39">
                  <c:v>57.783999999999999</c:v>
                </c:pt>
                <c:pt idx="40">
                  <c:v>57.773000000000003</c:v>
                </c:pt>
                <c:pt idx="41">
                  <c:v>56.801000000000002</c:v>
                </c:pt>
                <c:pt idx="42">
                  <c:v>56.615000000000002</c:v>
                </c:pt>
                <c:pt idx="43">
                  <c:v>56.225999999999999</c:v>
                </c:pt>
                <c:pt idx="44">
                  <c:v>55.598999999999997</c:v>
                </c:pt>
                <c:pt idx="45">
                  <c:v>55.6</c:v>
                </c:pt>
                <c:pt idx="46">
                  <c:v>55.305</c:v>
                </c:pt>
                <c:pt idx="47">
                  <c:v>54.691000000000003</c:v>
                </c:pt>
                <c:pt idx="48">
                  <c:v>56.261000000000003</c:v>
                </c:pt>
                <c:pt idx="49">
                  <c:v>57.594999999999999</c:v>
                </c:pt>
                <c:pt idx="50">
                  <c:v>56.100999999999999</c:v>
                </c:pt>
                <c:pt idx="51">
                  <c:v>57.69</c:v>
                </c:pt>
                <c:pt idx="52">
                  <c:v>58.506999999999998</c:v>
                </c:pt>
                <c:pt idx="53">
                  <c:v>61.43</c:v>
                </c:pt>
                <c:pt idx="54">
                  <c:v>59.218000000000004</c:v>
                </c:pt>
                <c:pt idx="55">
                  <c:v>59.88</c:v>
                </c:pt>
                <c:pt idx="56">
                  <c:v>56.253999999999998</c:v>
                </c:pt>
                <c:pt idx="57">
                  <c:v>56.591999999999999</c:v>
                </c:pt>
                <c:pt idx="58">
                  <c:v>56.137999999999998</c:v>
                </c:pt>
                <c:pt idx="59">
                  <c:v>54.7</c:v>
                </c:pt>
                <c:pt idx="60">
                  <c:v>54.506</c:v>
                </c:pt>
                <c:pt idx="61">
                  <c:v>54.271000000000001</c:v>
                </c:pt>
                <c:pt idx="62">
                  <c:v>54.247</c:v>
                </c:pt>
                <c:pt idx="63">
                  <c:v>53.003999999999998</c:v>
                </c:pt>
                <c:pt idx="64">
                  <c:v>54.831000000000003</c:v>
                </c:pt>
                <c:pt idx="65">
                  <c:v>53.845999999999997</c:v>
                </c:pt>
                <c:pt idx="66">
                  <c:v>53.932000000000002</c:v>
                </c:pt>
                <c:pt idx="67">
                  <c:v>53.478000000000002</c:v>
                </c:pt>
                <c:pt idx="68">
                  <c:v>53.298999999999999</c:v>
                </c:pt>
                <c:pt idx="69">
                  <c:v>54.253</c:v>
                </c:pt>
                <c:pt idx="70">
                  <c:v>54.639000000000003</c:v>
                </c:pt>
                <c:pt idx="71">
                  <c:v>55.072000000000003</c:v>
                </c:pt>
                <c:pt idx="72">
                  <c:v>55.631</c:v>
                </c:pt>
                <c:pt idx="73">
                  <c:v>54.213000000000001</c:v>
                </c:pt>
                <c:pt idx="74">
                  <c:v>53.832000000000001</c:v>
                </c:pt>
                <c:pt idx="75">
                  <c:v>53.965000000000003</c:v>
                </c:pt>
                <c:pt idx="76">
                  <c:v>54.531999999999996</c:v>
                </c:pt>
                <c:pt idx="77">
                  <c:v>53.115000000000002</c:v>
                </c:pt>
                <c:pt idx="78">
                  <c:v>53.042999999999999</c:v>
                </c:pt>
                <c:pt idx="79">
                  <c:v>52.845999999999997</c:v>
                </c:pt>
                <c:pt idx="80">
                  <c:v>53.137</c:v>
                </c:pt>
                <c:pt idx="81">
                  <c:v>52.62</c:v>
                </c:pt>
                <c:pt idx="82">
                  <c:v>52.863</c:v>
                </c:pt>
                <c:pt idx="83">
                  <c:v>53.648000000000003</c:v>
                </c:pt>
                <c:pt idx="84">
                  <c:v>56.274999999999999</c:v>
                </c:pt>
                <c:pt idx="85">
                  <c:v>55.597000000000001</c:v>
                </c:pt>
                <c:pt idx="86">
                  <c:v>55.704000000000001</c:v>
                </c:pt>
                <c:pt idx="87">
                  <c:v>55.249000000000002</c:v>
                </c:pt>
                <c:pt idx="88">
                  <c:v>54.295999999999999</c:v>
                </c:pt>
                <c:pt idx="89">
                  <c:v>53.335000000000001</c:v>
                </c:pt>
                <c:pt idx="90">
                  <c:v>53.359000000000002</c:v>
                </c:pt>
                <c:pt idx="91">
                  <c:v>52.584000000000003</c:v>
                </c:pt>
                <c:pt idx="92">
                  <c:v>51.792999999999999</c:v>
                </c:pt>
                <c:pt idx="93">
                  <c:v>51.798000000000002</c:v>
                </c:pt>
                <c:pt idx="94">
                  <c:v>51.594999999999999</c:v>
                </c:pt>
                <c:pt idx="95">
                  <c:v>51.526000000000003</c:v>
                </c:pt>
                <c:pt idx="96">
                  <c:v>51.503999999999998</c:v>
                </c:pt>
                <c:pt idx="97">
                  <c:v>52.372999999999998</c:v>
                </c:pt>
                <c:pt idx="98">
                  <c:v>53.082999999999998</c:v>
                </c:pt>
                <c:pt idx="99">
                  <c:v>51.430999999999997</c:v>
                </c:pt>
                <c:pt idx="100">
                  <c:v>53.027000000000001</c:v>
                </c:pt>
                <c:pt idx="101">
                  <c:v>54.905000000000001</c:v>
                </c:pt>
                <c:pt idx="102">
                  <c:v>54.360999999999997</c:v>
                </c:pt>
                <c:pt idx="103">
                  <c:v>55.5</c:v>
                </c:pt>
                <c:pt idx="104">
                  <c:v>55.526000000000003</c:v>
                </c:pt>
                <c:pt idx="105">
                  <c:v>56.948999999999998</c:v>
                </c:pt>
                <c:pt idx="106">
                  <c:v>55.280999999999999</c:v>
                </c:pt>
                <c:pt idx="107">
                  <c:v>53.954000000000001</c:v>
                </c:pt>
                <c:pt idx="108">
                  <c:v>53.905000000000001</c:v>
                </c:pt>
                <c:pt idx="109">
                  <c:v>53.210999999999999</c:v>
                </c:pt>
                <c:pt idx="110">
                  <c:v>53</c:v>
                </c:pt>
                <c:pt idx="111">
                  <c:v>52.491</c:v>
                </c:pt>
                <c:pt idx="112">
                  <c:v>50.987000000000002</c:v>
                </c:pt>
                <c:pt idx="113">
                  <c:v>50.905999999999999</c:v>
                </c:pt>
                <c:pt idx="114">
                  <c:v>50.040999999999997</c:v>
                </c:pt>
                <c:pt idx="115">
                  <c:v>50.856000000000002</c:v>
                </c:pt>
                <c:pt idx="116">
                  <c:v>50.744</c:v>
                </c:pt>
                <c:pt idx="117">
                  <c:v>50.07</c:v>
                </c:pt>
                <c:pt idx="118">
                  <c:v>50.316000000000003</c:v>
                </c:pt>
                <c:pt idx="119">
                  <c:v>56.058</c:v>
                </c:pt>
                <c:pt idx="120">
                  <c:v>55.554000000000002</c:v>
                </c:pt>
                <c:pt idx="121">
                  <c:v>56.045000000000002</c:v>
                </c:pt>
                <c:pt idx="122">
                  <c:v>56.823</c:v>
                </c:pt>
                <c:pt idx="123">
                  <c:v>56.4</c:v>
                </c:pt>
                <c:pt idx="124">
                  <c:v>55.997999999999998</c:v>
                </c:pt>
                <c:pt idx="125">
                  <c:v>55.984999999999999</c:v>
                </c:pt>
                <c:pt idx="126">
                  <c:v>55.332999999999998</c:v>
                </c:pt>
                <c:pt idx="127">
                  <c:v>54.854999999999997</c:v>
                </c:pt>
                <c:pt idx="128">
                  <c:v>54.923000000000002</c:v>
                </c:pt>
                <c:pt idx="129">
                  <c:v>55.719000000000001</c:v>
                </c:pt>
                <c:pt idx="130">
                  <c:v>56.481000000000002</c:v>
                </c:pt>
                <c:pt idx="131">
                  <c:v>56.034999999999997</c:v>
                </c:pt>
                <c:pt idx="132">
                  <c:v>56.972000000000001</c:v>
                </c:pt>
                <c:pt idx="133">
                  <c:v>57.622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CA-4ED7-8BF9-E881A4AF8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687008"/>
        <c:axId val="1550688448"/>
      </c:lineChart>
      <c:dateAx>
        <c:axId val="15506870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688448"/>
        <c:crosses val="autoZero"/>
        <c:auto val="1"/>
        <c:lblOffset val="100"/>
        <c:baseTimeUnit val="days"/>
      </c:dateAx>
      <c:valAx>
        <c:axId val="155068844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IG Spread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68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PnL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daily_pnl_pairs!$A$2:$A$87</c:f>
              <c:strCache>
                <c:ptCount val="86"/>
                <c:pt idx="0">
                  <c:v>2025-06-11</c:v>
                </c:pt>
                <c:pt idx="1">
                  <c:v>2025-06-12</c:v>
                </c:pt>
                <c:pt idx="2">
                  <c:v>2025-06-13</c:v>
                </c:pt>
                <c:pt idx="3">
                  <c:v>2025-06-16</c:v>
                </c:pt>
                <c:pt idx="4">
                  <c:v>2025-06-17</c:v>
                </c:pt>
                <c:pt idx="5">
                  <c:v>2025-06-18</c:v>
                </c:pt>
                <c:pt idx="6">
                  <c:v>2025-06-19</c:v>
                </c:pt>
                <c:pt idx="7">
                  <c:v>2025-06-20</c:v>
                </c:pt>
                <c:pt idx="8">
                  <c:v>2025-06-23</c:v>
                </c:pt>
                <c:pt idx="9">
                  <c:v>2025-06-24</c:v>
                </c:pt>
                <c:pt idx="10">
                  <c:v>2025-06-25</c:v>
                </c:pt>
                <c:pt idx="11">
                  <c:v>2025-06-26</c:v>
                </c:pt>
                <c:pt idx="12">
                  <c:v>2025-06-27</c:v>
                </c:pt>
                <c:pt idx="13">
                  <c:v>2025-06-30</c:v>
                </c:pt>
                <c:pt idx="14">
                  <c:v>2025-07-01</c:v>
                </c:pt>
                <c:pt idx="15">
                  <c:v>2025-07-02</c:v>
                </c:pt>
                <c:pt idx="16">
                  <c:v>2025-07-03</c:v>
                </c:pt>
                <c:pt idx="17">
                  <c:v>2025-07-04</c:v>
                </c:pt>
                <c:pt idx="18">
                  <c:v>2025-07-07</c:v>
                </c:pt>
                <c:pt idx="19">
                  <c:v>2025-07-08</c:v>
                </c:pt>
                <c:pt idx="20">
                  <c:v>2025-07-09</c:v>
                </c:pt>
                <c:pt idx="21">
                  <c:v>2025-07-10</c:v>
                </c:pt>
                <c:pt idx="22">
                  <c:v>2025-07-11</c:v>
                </c:pt>
                <c:pt idx="23">
                  <c:v>2025-07-14</c:v>
                </c:pt>
                <c:pt idx="24">
                  <c:v>2025-07-15</c:v>
                </c:pt>
                <c:pt idx="25">
                  <c:v>2025-07-16</c:v>
                </c:pt>
                <c:pt idx="26">
                  <c:v>2025-07-17</c:v>
                </c:pt>
                <c:pt idx="27">
                  <c:v>2025-07-18</c:v>
                </c:pt>
                <c:pt idx="28">
                  <c:v>2025-07-21</c:v>
                </c:pt>
                <c:pt idx="29">
                  <c:v>2025-07-22</c:v>
                </c:pt>
                <c:pt idx="30">
                  <c:v>2025-07-23</c:v>
                </c:pt>
                <c:pt idx="31">
                  <c:v>2025-07-24</c:v>
                </c:pt>
                <c:pt idx="32">
                  <c:v>2025-07-25</c:v>
                </c:pt>
                <c:pt idx="33">
                  <c:v>2025-07-28</c:v>
                </c:pt>
                <c:pt idx="34">
                  <c:v>2025-07-29</c:v>
                </c:pt>
                <c:pt idx="35">
                  <c:v>2025-07-30</c:v>
                </c:pt>
                <c:pt idx="36">
                  <c:v>2025-07-31</c:v>
                </c:pt>
                <c:pt idx="37">
                  <c:v>2025-08-01</c:v>
                </c:pt>
                <c:pt idx="38">
                  <c:v>2025-08-04</c:v>
                </c:pt>
                <c:pt idx="39">
                  <c:v>2025-08-05</c:v>
                </c:pt>
                <c:pt idx="40">
                  <c:v>2025-08-06</c:v>
                </c:pt>
                <c:pt idx="41">
                  <c:v>2025-08-07</c:v>
                </c:pt>
                <c:pt idx="42">
                  <c:v>2025-08-08</c:v>
                </c:pt>
                <c:pt idx="43">
                  <c:v>2025-08-11</c:v>
                </c:pt>
                <c:pt idx="44">
                  <c:v>2025-08-12</c:v>
                </c:pt>
                <c:pt idx="45">
                  <c:v>2025-08-13</c:v>
                </c:pt>
                <c:pt idx="46">
                  <c:v>2025-08-14</c:v>
                </c:pt>
                <c:pt idx="47">
                  <c:v>2025-08-15</c:v>
                </c:pt>
                <c:pt idx="48">
                  <c:v>2025-08-18</c:v>
                </c:pt>
                <c:pt idx="49">
                  <c:v>2025-08-19</c:v>
                </c:pt>
                <c:pt idx="50">
                  <c:v>2025-08-20</c:v>
                </c:pt>
                <c:pt idx="51">
                  <c:v>2025-08-21</c:v>
                </c:pt>
                <c:pt idx="52">
                  <c:v>2025-08-22</c:v>
                </c:pt>
                <c:pt idx="53">
                  <c:v>2025-08-25</c:v>
                </c:pt>
                <c:pt idx="54">
                  <c:v>2025-08-26</c:v>
                </c:pt>
                <c:pt idx="55">
                  <c:v>2025-08-27</c:v>
                </c:pt>
                <c:pt idx="56">
                  <c:v>2025-08-28</c:v>
                </c:pt>
                <c:pt idx="57">
                  <c:v>2025-08-29</c:v>
                </c:pt>
                <c:pt idx="58">
                  <c:v>2025-09-01</c:v>
                </c:pt>
                <c:pt idx="59">
                  <c:v>2025-09-02</c:v>
                </c:pt>
                <c:pt idx="60">
                  <c:v>2025-09-03</c:v>
                </c:pt>
                <c:pt idx="61">
                  <c:v>2025-09-04</c:v>
                </c:pt>
                <c:pt idx="62">
                  <c:v>2025-09-05</c:v>
                </c:pt>
                <c:pt idx="63">
                  <c:v>2025-09-08</c:v>
                </c:pt>
                <c:pt idx="64">
                  <c:v>2025-09-09</c:v>
                </c:pt>
                <c:pt idx="65">
                  <c:v>2025-09-10</c:v>
                </c:pt>
                <c:pt idx="66">
                  <c:v>2025-09-11</c:v>
                </c:pt>
                <c:pt idx="67">
                  <c:v>2025-09-12</c:v>
                </c:pt>
                <c:pt idx="68">
                  <c:v>2025-09-15</c:v>
                </c:pt>
                <c:pt idx="69">
                  <c:v>2025-09-16</c:v>
                </c:pt>
                <c:pt idx="70">
                  <c:v>2025-09-17</c:v>
                </c:pt>
                <c:pt idx="71">
                  <c:v>2025-09-18</c:v>
                </c:pt>
                <c:pt idx="72">
                  <c:v>2025-09-19</c:v>
                </c:pt>
                <c:pt idx="73">
                  <c:v>2025-09-22</c:v>
                </c:pt>
                <c:pt idx="74">
                  <c:v>2025-09-23</c:v>
                </c:pt>
                <c:pt idx="75">
                  <c:v>2025-09-24</c:v>
                </c:pt>
                <c:pt idx="76">
                  <c:v>2025-09-25</c:v>
                </c:pt>
                <c:pt idx="77">
                  <c:v>2025-09-26</c:v>
                </c:pt>
                <c:pt idx="78">
                  <c:v>2025-09-29</c:v>
                </c:pt>
                <c:pt idx="79">
                  <c:v>2025-09-30</c:v>
                </c:pt>
                <c:pt idx="80">
                  <c:v>2025-10-01</c:v>
                </c:pt>
                <c:pt idx="81">
                  <c:v>2025-10-02</c:v>
                </c:pt>
                <c:pt idx="82">
                  <c:v>2025-10-03</c:v>
                </c:pt>
                <c:pt idx="83">
                  <c:v>2025-10-06</c:v>
                </c:pt>
                <c:pt idx="84">
                  <c:v>2025-10-07</c:v>
                </c:pt>
                <c:pt idx="85">
                  <c:v>2025-10-08</c:v>
                </c:pt>
              </c:strCache>
            </c:strRef>
          </c:cat>
          <c:val>
            <c:numRef>
              <c:f>daily_pnl_pairs!$B$2:$B$87</c:f>
              <c:numCache>
                <c:formatCode>General</c:formatCode>
                <c:ptCount val="86"/>
                <c:pt idx="0">
                  <c:v>-17398</c:v>
                </c:pt>
                <c:pt idx="1">
                  <c:v>26305</c:v>
                </c:pt>
                <c:pt idx="2">
                  <c:v>-92510</c:v>
                </c:pt>
                <c:pt idx="3">
                  <c:v>29164</c:v>
                </c:pt>
                <c:pt idx="4">
                  <c:v>-16279</c:v>
                </c:pt>
                <c:pt idx="5">
                  <c:v>-47081</c:v>
                </c:pt>
                <c:pt idx="6">
                  <c:v>12793</c:v>
                </c:pt>
                <c:pt idx="7">
                  <c:v>41386</c:v>
                </c:pt>
                <c:pt idx="8">
                  <c:v>116644</c:v>
                </c:pt>
                <c:pt idx="9">
                  <c:v>186748</c:v>
                </c:pt>
                <c:pt idx="10">
                  <c:v>138480</c:v>
                </c:pt>
                <c:pt idx="11">
                  <c:v>220418</c:v>
                </c:pt>
                <c:pt idx="12">
                  <c:v>156679</c:v>
                </c:pt>
                <c:pt idx="13">
                  <c:v>289302</c:v>
                </c:pt>
                <c:pt idx="14">
                  <c:v>369827</c:v>
                </c:pt>
                <c:pt idx="15">
                  <c:v>378404</c:v>
                </c:pt>
                <c:pt idx="16">
                  <c:v>435975</c:v>
                </c:pt>
                <c:pt idx="17">
                  <c:v>510576</c:v>
                </c:pt>
                <c:pt idx="18">
                  <c:v>395185</c:v>
                </c:pt>
                <c:pt idx="19">
                  <c:v>349761</c:v>
                </c:pt>
                <c:pt idx="20">
                  <c:v>404731</c:v>
                </c:pt>
                <c:pt idx="21">
                  <c:v>408241</c:v>
                </c:pt>
                <c:pt idx="22">
                  <c:v>388504</c:v>
                </c:pt>
                <c:pt idx="23">
                  <c:v>357170</c:v>
                </c:pt>
                <c:pt idx="24">
                  <c:v>311702</c:v>
                </c:pt>
                <c:pt idx="25">
                  <c:v>389036</c:v>
                </c:pt>
                <c:pt idx="26">
                  <c:v>342393</c:v>
                </c:pt>
                <c:pt idx="27">
                  <c:v>353993</c:v>
                </c:pt>
                <c:pt idx="28">
                  <c:v>401824</c:v>
                </c:pt>
                <c:pt idx="29">
                  <c:v>369732</c:v>
                </c:pt>
                <c:pt idx="30">
                  <c:v>381751</c:v>
                </c:pt>
                <c:pt idx="31">
                  <c:v>319741</c:v>
                </c:pt>
                <c:pt idx="32">
                  <c:v>311375</c:v>
                </c:pt>
                <c:pt idx="33">
                  <c:v>260727</c:v>
                </c:pt>
                <c:pt idx="34">
                  <c:v>83081</c:v>
                </c:pt>
                <c:pt idx="35">
                  <c:v>-49202</c:v>
                </c:pt>
                <c:pt idx="36">
                  <c:v>30060</c:v>
                </c:pt>
                <c:pt idx="37">
                  <c:v>-125581</c:v>
                </c:pt>
                <c:pt idx="38">
                  <c:v>89845</c:v>
                </c:pt>
                <c:pt idx="39">
                  <c:v>56695</c:v>
                </c:pt>
                <c:pt idx="40">
                  <c:v>-19692</c:v>
                </c:pt>
                <c:pt idx="41">
                  <c:v>-104358</c:v>
                </c:pt>
                <c:pt idx="42">
                  <c:v>-11959</c:v>
                </c:pt>
                <c:pt idx="43">
                  <c:v>-74893</c:v>
                </c:pt>
                <c:pt idx="44">
                  <c:v>17389</c:v>
                </c:pt>
                <c:pt idx="45">
                  <c:v>113497</c:v>
                </c:pt>
                <c:pt idx="46">
                  <c:v>22346</c:v>
                </c:pt>
                <c:pt idx="47">
                  <c:v>17114</c:v>
                </c:pt>
                <c:pt idx="48">
                  <c:v>-24637</c:v>
                </c:pt>
                <c:pt idx="49">
                  <c:v>-173776</c:v>
                </c:pt>
                <c:pt idx="50">
                  <c:v>-132688</c:v>
                </c:pt>
                <c:pt idx="51">
                  <c:v>-130613</c:v>
                </c:pt>
                <c:pt idx="52">
                  <c:v>305649</c:v>
                </c:pt>
                <c:pt idx="53">
                  <c:v>263131</c:v>
                </c:pt>
                <c:pt idx="54">
                  <c:v>598598</c:v>
                </c:pt>
                <c:pt idx="55">
                  <c:v>760401</c:v>
                </c:pt>
                <c:pt idx="56">
                  <c:v>424039</c:v>
                </c:pt>
                <c:pt idx="57">
                  <c:v>499536</c:v>
                </c:pt>
                <c:pt idx="58">
                  <c:v>184830</c:v>
                </c:pt>
                <c:pt idx="59">
                  <c:v>554920</c:v>
                </c:pt>
                <c:pt idx="60">
                  <c:v>266951</c:v>
                </c:pt>
                <c:pt idx="61">
                  <c:v>470766</c:v>
                </c:pt>
                <c:pt idx="62">
                  <c:v>374193</c:v>
                </c:pt>
                <c:pt idx="63">
                  <c:v>289717</c:v>
                </c:pt>
                <c:pt idx="64">
                  <c:v>208564</c:v>
                </c:pt>
                <c:pt idx="65">
                  <c:v>285156</c:v>
                </c:pt>
                <c:pt idx="66">
                  <c:v>418890</c:v>
                </c:pt>
                <c:pt idx="67">
                  <c:v>298053</c:v>
                </c:pt>
                <c:pt idx="68">
                  <c:v>430848</c:v>
                </c:pt>
                <c:pt idx="69">
                  <c:v>568548</c:v>
                </c:pt>
                <c:pt idx="70">
                  <c:v>368347</c:v>
                </c:pt>
                <c:pt idx="71">
                  <c:v>573384</c:v>
                </c:pt>
                <c:pt idx="72">
                  <c:v>582644</c:v>
                </c:pt>
                <c:pt idx="73">
                  <c:v>618514</c:v>
                </c:pt>
                <c:pt idx="74">
                  <c:v>435724</c:v>
                </c:pt>
                <c:pt idx="75">
                  <c:v>320390</c:v>
                </c:pt>
                <c:pt idx="76">
                  <c:v>278228</c:v>
                </c:pt>
                <c:pt idx="77">
                  <c:v>412254</c:v>
                </c:pt>
                <c:pt idx="78">
                  <c:v>638442</c:v>
                </c:pt>
                <c:pt idx="79">
                  <c:v>536016</c:v>
                </c:pt>
                <c:pt idx="80">
                  <c:v>591290</c:v>
                </c:pt>
                <c:pt idx="81">
                  <c:v>436950</c:v>
                </c:pt>
                <c:pt idx="82">
                  <c:v>426336</c:v>
                </c:pt>
                <c:pt idx="83">
                  <c:v>737237</c:v>
                </c:pt>
                <c:pt idx="84">
                  <c:v>786910</c:v>
                </c:pt>
                <c:pt idx="85">
                  <c:v>846778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6-417F-A2F8-92FAFF491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447312"/>
        <c:axId val="1958443472"/>
      </c:lineChart>
      <c:lineChart>
        <c:grouping val="standard"/>
        <c:varyColors val="0"/>
        <c:ser>
          <c:idx val="1"/>
          <c:order val="1"/>
          <c:tx>
            <c:strRef>
              <c:f>daily_pnl_pairs!$C$1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daily_pnl_pairs!$A$2:$A$87</c:f>
              <c:strCache>
                <c:ptCount val="86"/>
                <c:pt idx="0">
                  <c:v>2025-06-11</c:v>
                </c:pt>
                <c:pt idx="1">
                  <c:v>2025-06-12</c:v>
                </c:pt>
                <c:pt idx="2">
                  <c:v>2025-06-13</c:v>
                </c:pt>
                <c:pt idx="3">
                  <c:v>2025-06-16</c:v>
                </c:pt>
                <c:pt idx="4">
                  <c:v>2025-06-17</c:v>
                </c:pt>
                <c:pt idx="5">
                  <c:v>2025-06-18</c:v>
                </c:pt>
                <c:pt idx="6">
                  <c:v>2025-06-19</c:v>
                </c:pt>
                <c:pt idx="7">
                  <c:v>2025-06-20</c:v>
                </c:pt>
                <c:pt idx="8">
                  <c:v>2025-06-23</c:v>
                </c:pt>
                <c:pt idx="9">
                  <c:v>2025-06-24</c:v>
                </c:pt>
                <c:pt idx="10">
                  <c:v>2025-06-25</c:v>
                </c:pt>
                <c:pt idx="11">
                  <c:v>2025-06-26</c:v>
                </c:pt>
                <c:pt idx="12">
                  <c:v>2025-06-27</c:v>
                </c:pt>
                <c:pt idx="13">
                  <c:v>2025-06-30</c:v>
                </c:pt>
                <c:pt idx="14">
                  <c:v>2025-07-01</c:v>
                </c:pt>
                <c:pt idx="15">
                  <c:v>2025-07-02</c:v>
                </c:pt>
                <c:pt idx="16">
                  <c:v>2025-07-03</c:v>
                </c:pt>
                <c:pt idx="17">
                  <c:v>2025-07-04</c:v>
                </c:pt>
                <c:pt idx="18">
                  <c:v>2025-07-07</c:v>
                </c:pt>
                <c:pt idx="19">
                  <c:v>2025-07-08</c:v>
                </c:pt>
                <c:pt idx="20">
                  <c:v>2025-07-09</c:v>
                </c:pt>
                <c:pt idx="21">
                  <c:v>2025-07-10</c:v>
                </c:pt>
                <c:pt idx="22">
                  <c:v>2025-07-11</c:v>
                </c:pt>
                <c:pt idx="23">
                  <c:v>2025-07-14</c:v>
                </c:pt>
                <c:pt idx="24">
                  <c:v>2025-07-15</c:v>
                </c:pt>
                <c:pt idx="25">
                  <c:v>2025-07-16</c:v>
                </c:pt>
                <c:pt idx="26">
                  <c:v>2025-07-17</c:v>
                </c:pt>
                <c:pt idx="27">
                  <c:v>2025-07-18</c:v>
                </c:pt>
                <c:pt idx="28">
                  <c:v>2025-07-21</c:v>
                </c:pt>
                <c:pt idx="29">
                  <c:v>2025-07-22</c:v>
                </c:pt>
                <c:pt idx="30">
                  <c:v>2025-07-23</c:v>
                </c:pt>
                <c:pt idx="31">
                  <c:v>2025-07-24</c:v>
                </c:pt>
                <c:pt idx="32">
                  <c:v>2025-07-25</c:v>
                </c:pt>
                <c:pt idx="33">
                  <c:v>2025-07-28</c:v>
                </c:pt>
                <c:pt idx="34">
                  <c:v>2025-07-29</c:v>
                </c:pt>
                <c:pt idx="35">
                  <c:v>2025-07-30</c:v>
                </c:pt>
                <c:pt idx="36">
                  <c:v>2025-07-31</c:v>
                </c:pt>
                <c:pt idx="37">
                  <c:v>2025-08-01</c:v>
                </c:pt>
                <c:pt idx="38">
                  <c:v>2025-08-04</c:v>
                </c:pt>
                <c:pt idx="39">
                  <c:v>2025-08-05</c:v>
                </c:pt>
                <c:pt idx="40">
                  <c:v>2025-08-06</c:v>
                </c:pt>
                <c:pt idx="41">
                  <c:v>2025-08-07</c:v>
                </c:pt>
                <c:pt idx="42">
                  <c:v>2025-08-08</c:v>
                </c:pt>
                <c:pt idx="43">
                  <c:v>2025-08-11</c:v>
                </c:pt>
                <c:pt idx="44">
                  <c:v>2025-08-12</c:v>
                </c:pt>
                <c:pt idx="45">
                  <c:v>2025-08-13</c:v>
                </c:pt>
                <c:pt idx="46">
                  <c:v>2025-08-14</c:v>
                </c:pt>
                <c:pt idx="47">
                  <c:v>2025-08-15</c:v>
                </c:pt>
                <c:pt idx="48">
                  <c:v>2025-08-18</c:v>
                </c:pt>
                <c:pt idx="49">
                  <c:v>2025-08-19</c:v>
                </c:pt>
                <c:pt idx="50">
                  <c:v>2025-08-20</c:v>
                </c:pt>
                <c:pt idx="51">
                  <c:v>2025-08-21</c:v>
                </c:pt>
                <c:pt idx="52">
                  <c:v>2025-08-22</c:v>
                </c:pt>
                <c:pt idx="53">
                  <c:v>2025-08-25</c:v>
                </c:pt>
                <c:pt idx="54">
                  <c:v>2025-08-26</c:v>
                </c:pt>
                <c:pt idx="55">
                  <c:v>2025-08-27</c:v>
                </c:pt>
                <c:pt idx="56">
                  <c:v>2025-08-28</c:v>
                </c:pt>
                <c:pt idx="57">
                  <c:v>2025-08-29</c:v>
                </c:pt>
                <c:pt idx="58">
                  <c:v>2025-09-01</c:v>
                </c:pt>
                <c:pt idx="59">
                  <c:v>2025-09-02</c:v>
                </c:pt>
                <c:pt idx="60">
                  <c:v>2025-09-03</c:v>
                </c:pt>
                <c:pt idx="61">
                  <c:v>2025-09-04</c:v>
                </c:pt>
                <c:pt idx="62">
                  <c:v>2025-09-05</c:v>
                </c:pt>
                <c:pt idx="63">
                  <c:v>2025-09-08</c:v>
                </c:pt>
                <c:pt idx="64">
                  <c:v>2025-09-09</c:v>
                </c:pt>
                <c:pt idx="65">
                  <c:v>2025-09-10</c:v>
                </c:pt>
                <c:pt idx="66">
                  <c:v>2025-09-11</c:v>
                </c:pt>
                <c:pt idx="67">
                  <c:v>2025-09-12</c:v>
                </c:pt>
                <c:pt idx="68">
                  <c:v>2025-09-15</c:v>
                </c:pt>
                <c:pt idx="69">
                  <c:v>2025-09-16</c:v>
                </c:pt>
                <c:pt idx="70">
                  <c:v>2025-09-17</c:v>
                </c:pt>
                <c:pt idx="71">
                  <c:v>2025-09-18</c:v>
                </c:pt>
                <c:pt idx="72">
                  <c:v>2025-09-19</c:v>
                </c:pt>
                <c:pt idx="73">
                  <c:v>2025-09-22</c:v>
                </c:pt>
                <c:pt idx="74">
                  <c:v>2025-09-23</c:v>
                </c:pt>
                <c:pt idx="75">
                  <c:v>2025-09-24</c:v>
                </c:pt>
                <c:pt idx="76">
                  <c:v>2025-09-25</c:v>
                </c:pt>
                <c:pt idx="77">
                  <c:v>2025-09-26</c:v>
                </c:pt>
                <c:pt idx="78">
                  <c:v>2025-09-29</c:v>
                </c:pt>
                <c:pt idx="79">
                  <c:v>2025-09-30</c:v>
                </c:pt>
                <c:pt idx="80">
                  <c:v>2025-10-01</c:v>
                </c:pt>
                <c:pt idx="81">
                  <c:v>2025-10-02</c:v>
                </c:pt>
                <c:pt idx="82">
                  <c:v>2025-10-03</c:v>
                </c:pt>
                <c:pt idx="83">
                  <c:v>2025-10-06</c:v>
                </c:pt>
                <c:pt idx="84">
                  <c:v>2025-10-07</c:v>
                </c:pt>
                <c:pt idx="85">
                  <c:v>2025-10-08</c:v>
                </c:pt>
              </c:strCache>
            </c:strRef>
          </c:cat>
          <c:val>
            <c:numRef>
              <c:f>daily_pnl_pairs!$C$2:$C$87</c:f>
              <c:numCache>
                <c:formatCode>General</c:formatCode>
                <c:ptCount val="86"/>
                <c:pt idx="0">
                  <c:v>-6518876</c:v>
                </c:pt>
                <c:pt idx="1">
                  <c:v>-6518876</c:v>
                </c:pt>
                <c:pt idx="2">
                  <c:v>-6518876</c:v>
                </c:pt>
                <c:pt idx="3">
                  <c:v>-6518876</c:v>
                </c:pt>
                <c:pt idx="4">
                  <c:v>-6518876</c:v>
                </c:pt>
                <c:pt idx="5">
                  <c:v>-6518876</c:v>
                </c:pt>
                <c:pt idx="6">
                  <c:v>-6518876</c:v>
                </c:pt>
                <c:pt idx="7">
                  <c:v>-6518876</c:v>
                </c:pt>
                <c:pt idx="8">
                  <c:v>-6518876</c:v>
                </c:pt>
                <c:pt idx="9">
                  <c:v>-6518876</c:v>
                </c:pt>
                <c:pt idx="10">
                  <c:v>-6518876</c:v>
                </c:pt>
                <c:pt idx="11">
                  <c:v>-6518876</c:v>
                </c:pt>
                <c:pt idx="12">
                  <c:v>-6518876</c:v>
                </c:pt>
                <c:pt idx="13">
                  <c:v>-6518876</c:v>
                </c:pt>
                <c:pt idx="14">
                  <c:v>-6518876</c:v>
                </c:pt>
                <c:pt idx="15">
                  <c:v>-6518876</c:v>
                </c:pt>
                <c:pt idx="16">
                  <c:v>-6518876</c:v>
                </c:pt>
                <c:pt idx="17">
                  <c:v>-6518876</c:v>
                </c:pt>
                <c:pt idx="18">
                  <c:v>-6518876</c:v>
                </c:pt>
                <c:pt idx="19">
                  <c:v>-6518876</c:v>
                </c:pt>
                <c:pt idx="20">
                  <c:v>-6518876</c:v>
                </c:pt>
                <c:pt idx="21">
                  <c:v>-6518876</c:v>
                </c:pt>
                <c:pt idx="22">
                  <c:v>-6518876</c:v>
                </c:pt>
                <c:pt idx="23">
                  <c:v>-6518876</c:v>
                </c:pt>
                <c:pt idx="24">
                  <c:v>-6518876</c:v>
                </c:pt>
                <c:pt idx="25">
                  <c:v>-6518876</c:v>
                </c:pt>
                <c:pt idx="26">
                  <c:v>-6518876</c:v>
                </c:pt>
                <c:pt idx="27">
                  <c:v>-6518876</c:v>
                </c:pt>
                <c:pt idx="28">
                  <c:v>-6518876</c:v>
                </c:pt>
                <c:pt idx="29">
                  <c:v>-6518876</c:v>
                </c:pt>
                <c:pt idx="30">
                  <c:v>-6518876</c:v>
                </c:pt>
                <c:pt idx="31">
                  <c:v>-6518876</c:v>
                </c:pt>
                <c:pt idx="32">
                  <c:v>-6518876</c:v>
                </c:pt>
                <c:pt idx="33">
                  <c:v>-6518876</c:v>
                </c:pt>
                <c:pt idx="34">
                  <c:v>-16362233</c:v>
                </c:pt>
                <c:pt idx="35">
                  <c:v>-16362233</c:v>
                </c:pt>
                <c:pt idx="36">
                  <c:v>-16362233</c:v>
                </c:pt>
                <c:pt idx="37">
                  <c:v>-16362233</c:v>
                </c:pt>
                <c:pt idx="38">
                  <c:v>-16362233</c:v>
                </c:pt>
                <c:pt idx="39">
                  <c:v>-16362233</c:v>
                </c:pt>
                <c:pt idx="40">
                  <c:v>-16362233</c:v>
                </c:pt>
                <c:pt idx="41">
                  <c:v>-16362233</c:v>
                </c:pt>
                <c:pt idx="42">
                  <c:v>-16362233</c:v>
                </c:pt>
                <c:pt idx="43">
                  <c:v>-16362233</c:v>
                </c:pt>
                <c:pt idx="44">
                  <c:v>-16362233</c:v>
                </c:pt>
                <c:pt idx="45">
                  <c:v>-16362233</c:v>
                </c:pt>
                <c:pt idx="46">
                  <c:v>-16362233</c:v>
                </c:pt>
                <c:pt idx="47">
                  <c:v>-16362233</c:v>
                </c:pt>
                <c:pt idx="48">
                  <c:v>-22787011</c:v>
                </c:pt>
                <c:pt idx="49">
                  <c:v>-22787011</c:v>
                </c:pt>
                <c:pt idx="50">
                  <c:v>-22787011</c:v>
                </c:pt>
                <c:pt idx="51">
                  <c:v>-22787011</c:v>
                </c:pt>
                <c:pt idx="52">
                  <c:v>-22787011</c:v>
                </c:pt>
                <c:pt idx="53">
                  <c:v>-22787011</c:v>
                </c:pt>
                <c:pt idx="54">
                  <c:v>-22787011</c:v>
                </c:pt>
                <c:pt idx="55">
                  <c:v>-22787011</c:v>
                </c:pt>
                <c:pt idx="56">
                  <c:v>-22787011</c:v>
                </c:pt>
                <c:pt idx="57">
                  <c:v>-22787011</c:v>
                </c:pt>
                <c:pt idx="58">
                  <c:v>-22787011</c:v>
                </c:pt>
                <c:pt idx="59">
                  <c:v>-22787011</c:v>
                </c:pt>
                <c:pt idx="60">
                  <c:v>-22787011</c:v>
                </c:pt>
                <c:pt idx="61">
                  <c:v>-22787011</c:v>
                </c:pt>
                <c:pt idx="62">
                  <c:v>-22787011</c:v>
                </c:pt>
                <c:pt idx="63">
                  <c:v>-22787011</c:v>
                </c:pt>
                <c:pt idx="64">
                  <c:v>-22787011</c:v>
                </c:pt>
                <c:pt idx="65">
                  <c:v>-22787011</c:v>
                </c:pt>
                <c:pt idx="66">
                  <c:v>-22787011</c:v>
                </c:pt>
                <c:pt idx="67">
                  <c:v>-22787011</c:v>
                </c:pt>
                <c:pt idx="68">
                  <c:v>-27361927</c:v>
                </c:pt>
                <c:pt idx="69">
                  <c:v>-27361927</c:v>
                </c:pt>
                <c:pt idx="70">
                  <c:v>-27361927</c:v>
                </c:pt>
                <c:pt idx="71">
                  <c:v>-27361927</c:v>
                </c:pt>
                <c:pt idx="72">
                  <c:v>-27361927</c:v>
                </c:pt>
                <c:pt idx="73">
                  <c:v>-27361927</c:v>
                </c:pt>
                <c:pt idx="74">
                  <c:v>-27361927</c:v>
                </c:pt>
                <c:pt idx="75">
                  <c:v>-27361927</c:v>
                </c:pt>
                <c:pt idx="76">
                  <c:v>-27361927</c:v>
                </c:pt>
                <c:pt idx="77">
                  <c:v>-27361927</c:v>
                </c:pt>
                <c:pt idx="78">
                  <c:v>-27361927</c:v>
                </c:pt>
                <c:pt idx="79">
                  <c:v>-27361927</c:v>
                </c:pt>
                <c:pt idx="80">
                  <c:v>-27361927</c:v>
                </c:pt>
                <c:pt idx="81">
                  <c:v>-27361927</c:v>
                </c:pt>
                <c:pt idx="82">
                  <c:v>-27361927</c:v>
                </c:pt>
                <c:pt idx="83">
                  <c:v>-27361927</c:v>
                </c:pt>
                <c:pt idx="84">
                  <c:v>-27361927</c:v>
                </c:pt>
                <c:pt idx="85">
                  <c:v>-27361927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6-417F-A2F8-92FAFF49186A}"/>
            </c:ext>
          </c:extLst>
        </c:ser>
        <c:ser>
          <c:idx val="2"/>
          <c:order val="2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daily_pnl_pairs!$A$2:$A$87</c:f>
              <c:strCache>
                <c:ptCount val="86"/>
                <c:pt idx="0">
                  <c:v>2025-06-11</c:v>
                </c:pt>
                <c:pt idx="1">
                  <c:v>2025-06-12</c:v>
                </c:pt>
                <c:pt idx="2">
                  <c:v>2025-06-13</c:v>
                </c:pt>
                <c:pt idx="3">
                  <c:v>2025-06-16</c:v>
                </c:pt>
                <c:pt idx="4">
                  <c:v>2025-06-17</c:v>
                </c:pt>
                <c:pt idx="5">
                  <c:v>2025-06-18</c:v>
                </c:pt>
                <c:pt idx="6">
                  <c:v>2025-06-19</c:v>
                </c:pt>
                <c:pt idx="7">
                  <c:v>2025-06-20</c:v>
                </c:pt>
                <c:pt idx="8">
                  <c:v>2025-06-23</c:v>
                </c:pt>
                <c:pt idx="9">
                  <c:v>2025-06-24</c:v>
                </c:pt>
                <c:pt idx="10">
                  <c:v>2025-06-25</c:v>
                </c:pt>
                <c:pt idx="11">
                  <c:v>2025-06-26</c:v>
                </c:pt>
                <c:pt idx="12">
                  <c:v>2025-06-27</c:v>
                </c:pt>
                <c:pt idx="13">
                  <c:v>2025-06-30</c:v>
                </c:pt>
                <c:pt idx="14">
                  <c:v>2025-07-01</c:v>
                </c:pt>
                <c:pt idx="15">
                  <c:v>2025-07-02</c:v>
                </c:pt>
                <c:pt idx="16">
                  <c:v>2025-07-03</c:v>
                </c:pt>
                <c:pt idx="17">
                  <c:v>2025-07-04</c:v>
                </c:pt>
                <c:pt idx="18">
                  <c:v>2025-07-07</c:v>
                </c:pt>
                <c:pt idx="19">
                  <c:v>2025-07-08</c:v>
                </c:pt>
                <c:pt idx="20">
                  <c:v>2025-07-09</c:v>
                </c:pt>
                <c:pt idx="21">
                  <c:v>2025-07-10</c:v>
                </c:pt>
                <c:pt idx="22">
                  <c:v>2025-07-11</c:v>
                </c:pt>
                <c:pt idx="23">
                  <c:v>2025-07-14</c:v>
                </c:pt>
                <c:pt idx="24">
                  <c:v>2025-07-15</c:v>
                </c:pt>
                <c:pt idx="25">
                  <c:v>2025-07-16</c:v>
                </c:pt>
                <c:pt idx="26">
                  <c:v>2025-07-17</c:v>
                </c:pt>
                <c:pt idx="27">
                  <c:v>2025-07-18</c:v>
                </c:pt>
                <c:pt idx="28">
                  <c:v>2025-07-21</c:v>
                </c:pt>
                <c:pt idx="29">
                  <c:v>2025-07-22</c:v>
                </c:pt>
                <c:pt idx="30">
                  <c:v>2025-07-23</c:v>
                </c:pt>
                <c:pt idx="31">
                  <c:v>2025-07-24</c:v>
                </c:pt>
                <c:pt idx="32">
                  <c:v>2025-07-25</c:v>
                </c:pt>
                <c:pt idx="33">
                  <c:v>2025-07-28</c:v>
                </c:pt>
                <c:pt idx="34">
                  <c:v>2025-07-29</c:v>
                </c:pt>
                <c:pt idx="35">
                  <c:v>2025-07-30</c:v>
                </c:pt>
                <c:pt idx="36">
                  <c:v>2025-07-31</c:v>
                </c:pt>
                <c:pt idx="37">
                  <c:v>2025-08-01</c:v>
                </c:pt>
                <c:pt idx="38">
                  <c:v>2025-08-04</c:v>
                </c:pt>
                <c:pt idx="39">
                  <c:v>2025-08-05</c:v>
                </c:pt>
                <c:pt idx="40">
                  <c:v>2025-08-06</c:v>
                </c:pt>
                <c:pt idx="41">
                  <c:v>2025-08-07</c:v>
                </c:pt>
                <c:pt idx="42">
                  <c:v>2025-08-08</c:v>
                </c:pt>
                <c:pt idx="43">
                  <c:v>2025-08-11</c:v>
                </c:pt>
                <c:pt idx="44">
                  <c:v>2025-08-12</c:v>
                </c:pt>
                <c:pt idx="45">
                  <c:v>2025-08-13</c:v>
                </c:pt>
                <c:pt idx="46">
                  <c:v>2025-08-14</c:v>
                </c:pt>
                <c:pt idx="47">
                  <c:v>2025-08-15</c:v>
                </c:pt>
                <c:pt idx="48">
                  <c:v>2025-08-18</c:v>
                </c:pt>
                <c:pt idx="49">
                  <c:v>2025-08-19</c:v>
                </c:pt>
                <c:pt idx="50">
                  <c:v>2025-08-20</c:v>
                </c:pt>
                <c:pt idx="51">
                  <c:v>2025-08-21</c:v>
                </c:pt>
                <c:pt idx="52">
                  <c:v>2025-08-22</c:v>
                </c:pt>
                <c:pt idx="53">
                  <c:v>2025-08-25</c:v>
                </c:pt>
                <c:pt idx="54">
                  <c:v>2025-08-26</c:v>
                </c:pt>
                <c:pt idx="55">
                  <c:v>2025-08-27</c:v>
                </c:pt>
                <c:pt idx="56">
                  <c:v>2025-08-28</c:v>
                </c:pt>
                <c:pt idx="57">
                  <c:v>2025-08-29</c:v>
                </c:pt>
                <c:pt idx="58">
                  <c:v>2025-09-01</c:v>
                </c:pt>
                <c:pt idx="59">
                  <c:v>2025-09-02</c:v>
                </c:pt>
                <c:pt idx="60">
                  <c:v>2025-09-03</c:v>
                </c:pt>
                <c:pt idx="61">
                  <c:v>2025-09-04</c:v>
                </c:pt>
                <c:pt idx="62">
                  <c:v>2025-09-05</c:v>
                </c:pt>
                <c:pt idx="63">
                  <c:v>2025-09-08</c:v>
                </c:pt>
                <c:pt idx="64">
                  <c:v>2025-09-09</c:v>
                </c:pt>
                <c:pt idx="65">
                  <c:v>2025-09-10</c:v>
                </c:pt>
                <c:pt idx="66">
                  <c:v>2025-09-11</c:v>
                </c:pt>
                <c:pt idx="67">
                  <c:v>2025-09-12</c:v>
                </c:pt>
                <c:pt idx="68">
                  <c:v>2025-09-15</c:v>
                </c:pt>
                <c:pt idx="69">
                  <c:v>2025-09-16</c:v>
                </c:pt>
                <c:pt idx="70">
                  <c:v>2025-09-17</c:v>
                </c:pt>
                <c:pt idx="71">
                  <c:v>2025-09-18</c:v>
                </c:pt>
                <c:pt idx="72">
                  <c:v>2025-09-19</c:v>
                </c:pt>
                <c:pt idx="73">
                  <c:v>2025-09-22</c:v>
                </c:pt>
                <c:pt idx="74">
                  <c:v>2025-09-23</c:v>
                </c:pt>
                <c:pt idx="75">
                  <c:v>2025-09-24</c:v>
                </c:pt>
                <c:pt idx="76">
                  <c:v>2025-09-25</c:v>
                </c:pt>
                <c:pt idx="77">
                  <c:v>2025-09-26</c:v>
                </c:pt>
                <c:pt idx="78">
                  <c:v>2025-09-29</c:v>
                </c:pt>
                <c:pt idx="79">
                  <c:v>2025-09-30</c:v>
                </c:pt>
                <c:pt idx="80">
                  <c:v>2025-10-01</c:v>
                </c:pt>
                <c:pt idx="81">
                  <c:v>2025-10-02</c:v>
                </c:pt>
                <c:pt idx="82">
                  <c:v>2025-10-03</c:v>
                </c:pt>
                <c:pt idx="83">
                  <c:v>2025-10-06</c:v>
                </c:pt>
                <c:pt idx="84">
                  <c:v>2025-10-07</c:v>
                </c:pt>
                <c:pt idx="85">
                  <c:v>2025-10-08</c:v>
                </c:pt>
              </c:strCache>
            </c:strRef>
          </c:cat>
          <c:val>
            <c:numRef>
              <c:f>daily_pnl_pairs!$E$2:$E$87</c:f>
              <c:numCache>
                <c:formatCode>General</c:formatCode>
                <c:ptCount val="86"/>
                <c:pt idx="0">
                  <c:v>-660892</c:v>
                </c:pt>
                <c:pt idx="1">
                  <c:v>-677801</c:v>
                </c:pt>
                <c:pt idx="2">
                  <c:v>-395888</c:v>
                </c:pt>
                <c:pt idx="3">
                  <c:v>-675860</c:v>
                </c:pt>
                <c:pt idx="4">
                  <c:v>-402876</c:v>
                </c:pt>
                <c:pt idx="5">
                  <c:v>-359692</c:v>
                </c:pt>
                <c:pt idx="6">
                  <c:v>-403449</c:v>
                </c:pt>
                <c:pt idx="7">
                  <c:v>-415971</c:v>
                </c:pt>
                <c:pt idx="8">
                  <c:v>-519249</c:v>
                </c:pt>
                <c:pt idx="9">
                  <c:v>-957605</c:v>
                </c:pt>
                <c:pt idx="10">
                  <c:v>-876580</c:v>
                </c:pt>
                <c:pt idx="11">
                  <c:v>-1051779</c:v>
                </c:pt>
                <c:pt idx="12">
                  <c:v>-1065271</c:v>
                </c:pt>
                <c:pt idx="13">
                  <c:v>-1319526</c:v>
                </c:pt>
                <c:pt idx="14">
                  <c:v>-1468023</c:v>
                </c:pt>
                <c:pt idx="15">
                  <c:v>-1484370</c:v>
                </c:pt>
                <c:pt idx="16">
                  <c:v>-1662095</c:v>
                </c:pt>
                <c:pt idx="17">
                  <c:v>-1681445</c:v>
                </c:pt>
                <c:pt idx="18">
                  <c:v>-1511230</c:v>
                </c:pt>
                <c:pt idx="19">
                  <c:v>-1403690</c:v>
                </c:pt>
                <c:pt idx="20">
                  <c:v>-1573938</c:v>
                </c:pt>
                <c:pt idx="21">
                  <c:v>-1602091</c:v>
                </c:pt>
                <c:pt idx="22">
                  <c:v>-1508341</c:v>
                </c:pt>
                <c:pt idx="23">
                  <c:v>-1458973</c:v>
                </c:pt>
                <c:pt idx="24">
                  <c:v>-1320049</c:v>
                </c:pt>
                <c:pt idx="25">
                  <c:v>-1321376</c:v>
                </c:pt>
                <c:pt idx="26">
                  <c:v>-1460907</c:v>
                </c:pt>
                <c:pt idx="27">
                  <c:v>-1513359</c:v>
                </c:pt>
                <c:pt idx="28">
                  <c:v>-1607835</c:v>
                </c:pt>
                <c:pt idx="29">
                  <c:v>-1561102</c:v>
                </c:pt>
                <c:pt idx="30">
                  <c:v>-1710077</c:v>
                </c:pt>
                <c:pt idx="31">
                  <c:v>-1692381</c:v>
                </c:pt>
                <c:pt idx="32">
                  <c:v>-1711200</c:v>
                </c:pt>
                <c:pt idx="33">
                  <c:v>-1648280</c:v>
                </c:pt>
                <c:pt idx="34">
                  <c:v>-7454148</c:v>
                </c:pt>
                <c:pt idx="35">
                  <c:v>-7281576</c:v>
                </c:pt>
                <c:pt idx="36">
                  <c:v>-7278755</c:v>
                </c:pt>
                <c:pt idx="37">
                  <c:v>-6643081</c:v>
                </c:pt>
                <c:pt idx="38">
                  <c:v>-7055469</c:v>
                </c:pt>
                <c:pt idx="39">
                  <c:v>-7144893</c:v>
                </c:pt>
                <c:pt idx="40">
                  <c:v>-7171067</c:v>
                </c:pt>
                <c:pt idx="41">
                  <c:v>-7184827</c:v>
                </c:pt>
                <c:pt idx="42">
                  <c:v>-7471544</c:v>
                </c:pt>
                <c:pt idx="43">
                  <c:v>-7395873</c:v>
                </c:pt>
                <c:pt idx="44">
                  <c:v>-7701899</c:v>
                </c:pt>
                <c:pt idx="45">
                  <c:v>-7931568</c:v>
                </c:pt>
                <c:pt idx="46">
                  <c:v>-7780994</c:v>
                </c:pt>
                <c:pt idx="47">
                  <c:v>-7846076</c:v>
                </c:pt>
                <c:pt idx="48">
                  <c:v>-8781761</c:v>
                </c:pt>
                <c:pt idx="49">
                  <c:v>-8580186</c:v>
                </c:pt>
                <c:pt idx="50">
                  <c:v>-8409578</c:v>
                </c:pt>
                <c:pt idx="51">
                  <c:v>-8213380</c:v>
                </c:pt>
                <c:pt idx="52">
                  <c:v>-9244479</c:v>
                </c:pt>
                <c:pt idx="53">
                  <c:v>-9196620</c:v>
                </c:pt>
                <c:pt idx="54">
                  <c:v>-9207565</c:v>
                </c:pt>
                <c:pt idx="55">
                  <c:v>-8967881</c:v>
                </c:pt>
                <c:pt idx="56">
                  <c:v>-9175125</c:v>
                </c:pt>
                <c:pt idx="57">
                  <c:v>-8987527</c:v>
                </c:pt>
                <c:pt idx="58">
                  <c:v>-8669640</c:v>
                </c:pt>
                <c:pt idx="59">
                  <c:v>-8736668</c:v>
                </c:pt>
                <c:pt idx="60">
                  <c:v>-8805672</c:v>
                </c:pt>
                <c:pt idx="61">
                  <c:v>-9274339</c:v>
                </c:pt>
                <c:pt idx="62">
                  <c:v>-9253195</c:v>
                </c:pt>
                <c:pt idx="63">
                  <c:v>-9319883</c:v>
                </c:pt>
                <c:pt idx="64">
                  <c:v>-9257121</c:v>
                </c:pt>
                <c:pt idx="65">
                  <c:v>-9562947</c:v>
                </c:pt>
                <c:pt idx="66">
                  <c:v>-10119401</c:v>
                </c:pt>
                <c:pt idx="67">
                  <c:v>-10082750</c:v>
                </c:pt>
                <c:pt idx="68">
                  <c:v>-14405021</c:v>
                </c:pt>
                <c:pt idx="69">
                  <c:v>-14505669</c:v>
                </c:pt>
                <c:pt idx="70">
                  <c:v>-14302480</c:v>
                </c:pt>
                <c:pt idx="71">
                  <c:v>-14674192</c:v>
                </c:pt>
                <c:pt idx="72">
                  <c:v>-14596508</c:v>
                </c:pt>
                <c:pt idx="73">
                  <c:v>-14721473</c:v>
                </c:pt>
                <c:pt idx="74">
                  <c:v>-14699666</c:v>
                </c:pt>
                <c:pt idx="75">
                  <c:v>-14500311</c:v>
                </c:pt>
                <c:pt idx="76">
                  <c:v>-14217252</c:v>
                </c:pt>
                <c:pt idx="77">
                  <c:v>-14559968</c:v>
                </c:pt>
                <c:pt idx="78">
                  <c:v>-15035457</c:v>
                </c:pt>
                <c:pt idx="79">
                  <c:v>-15014189</c:v>
                </c:pt>
                <c:pt idx="80">
                  <c:v>-15208119</c:v>
                </c:pt>
                <c:pt idx="81">
                  <c:v>-15128008</c:v>
                </c:pt>
                <c:pt idx="82">
                  <c:v>-15171235</c:v>
                </c:pt>
                <c:pt idx="83">
                  <c:v>-15479641</c:v>
                </c:pt>
                <c:pt idx="84">
                  <c:v>-15270022</c:v>
                </c:pt>
                <c:pt idx="85">
                  <c:v>-15344107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6-417F-A2F8-92FAFF491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798623"/>
        <c:axId val="1807796223"/>
      </c:lineChart>
      <c:catAx>
        <c:axId val="195844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443472"/>
        <c:crosses val="autoZero"/>
        <c:auto val="1"/>
        <c:lblAlgn val="ctr"/>
        <c:lblOffset val="100"/>
        <c:noMultiLvlLbl val="0"/>
      </c:catAx>
      <c:valAx>
        <c:axId val="195844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447312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807796223"/>
        <c:scaling>
          <c:orientation val="minMax"/>
          <c:max val="3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798623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 usage, net upfront)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807798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77962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PnL Return-Close Trades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daily_pnl_close_pairs!$B$1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daily_pnl_close_pairs!$A$2:$A$87</c:f>
              <c:strCache>
                <c:ptCount val="86"/>
                <c:pt idx="0">
                  <c:v>2025-06-11</c:v>
                </c:pt>
                <c:pt idx="1">
                  <c:v>2025-06-12</c:v>
                </c:pt>
                <c:pt idx="2">
                  <c:v>2025-06-13</c:v>
                </c:pt>
                <c:pt idx="3">
                  <c:v>2025-06-16</c:v>
                </c:pt>
                <c:pt idx="4">
                  <c:v>2025-06-17</c:v>
                </c:pt>
                <c:pt idx="5">
                  <c:v>2025-06-18</c:v>
                </c:pt>
                <c:pt idx="6">
                  <c:v>2025-06-19</c:v>
                </c:pt>
                <c:pt idx="7">
                  <c:v>2025-06-20</c:v>
                </c:pt>
                <c:pt idx="8">
                  <c:v>2025-06-23</c:v>
                </c:pt>
                <c:pt idx="9">
                  <c:v>2025-06-24</c:v>
                </c:pt>
                <c:pt idx="10">
                  <c:v>2025-06-25</c:v>
                </c:pt>
                <c:pt idx="11">
                  <c:v>2025-06-26</c:v>
                </c:pt>
                <c:pt idx="12">
                  <c:v>2025-06-27</c:v>
                </c:pt>
                <c:pt idx="13">
                  <c:v>2025-06-30</c:v>
                </c:pt>
                <c:pt idx="14">
                  <c:v>2025-07-01</c:v>
                </c:pt>
                <c:pt idx="15">
                  <c:v>2025-07-02</c:v>
                </c:pt>
                <c:pt idx="16">
                  <c:v>2025-07-03</c:v>
                </c:pt>
                <c:pt idx="17">
                  <c:v>2025-07-04</c:v>
                </c:pt>
                <c:pt idx="18">
                  <c:v>2025-07-07</c:v>
                </c:pt>
                <c:pt idx="19">
                  <c:v>2025-07-08</c:v>
                </c:pt>
                <c:pt idx="20">
                  <c:v>2025-07-09</c:v>
                </c:pt>
                <c:pt idx="21">
                  <c:v>2025-07-10</c:v>
                </c:pt>
                <c:pt idx="22">
                  <c:v>2025-07-11</c:v>
                </c:pt>
                <c:pt idx="23">
                  <c:v>2025-07-14</c:v>
                </c:pt>
                <c:pt idx="24">
                  <c:v>2025-07-15</c:v>
                </c:pt>
                <c:pt idx="25">
                  <c:v>2025-07-16</c:v>
                </c:pt>
                <c:pt idx="26">
                  <c:v>2025-07-17</c:v>
                </c:pt>
                <c:pt idx="27">
                  <c:v>2025-07-18</c:v>
                </c:pt>
                <c:pt idx="28">
                  <c:v>2025-07-21</c:v>
                </c:pt>
                <c:pt idx="29">
                  <c:v>2025-07-22</c:v>
                </c:pt>
                <c:pt idx="30">
                  <c:v>2025-07-23</c:v>
                </c:pt>
                <c:pt idx="31">
                  <c:v>2025-07-24</c:v>
                </c:pt>
                <c:pt idx="32">
                  <c:v>2025-07-25</c:v>
                </c:pt>
                <c:pt idx="33">
                  <c:v>2025-07-28</c:v>
                </c:pt>
                <c:pt idx="34">
                  <c:v>2025-07-29</c:v>
                </c:pt>
                <c:pt idx="35">
                  <c:v>2025-07-30</c:v>
                </c:pt>
                <c:pt idx="36">
                  <c:v>2025-07-31</c:v>
                </c:pt>
                <c:pt idx="37">
                  <c:v>2025-08-01</c:v>
                </c:pt>
                <c:pt idx="38">
                  <c:v>2025-08-04</c:v>
                </c:pt>
                <c:pt idx="39">
                  <c:v>2025-08-05</c:v>
                </c:pt>
                <c:pt idx="40">
                  <c:v>2025-08-06</c:v>
                </c:pt>
                <c:pt idx="41">
                  <c:v>2025-08-07</c:v>
                </c:pt>
                <c:pt idx="42">
                  <c:v>2025-08-08</c:v>
                </c:pt>
                <c:pt idx="43">
                  <c:v>2025-08-11</c:v>
                </c:pt>
                <c:pt idx="44">
                  <c:v>2025-08-12</c:v>
                </c:pt>
                <c:pt idx="45">
                  <c:v>2025-08-13</c:v>
                </c:pt>
                <c:pt idx="46">
                  <c:v>2025-08-14</c:v>
                </c:pt>
                <c:pt idx="47">
                  <c:v>2025-08-15</c:v>
                </c:pt>
                <c:pt idx="48">
                  <c:v>2025-08-18</c:v>
                </c:pt>
                <c:pt idx="49">
                  <c:v>2025-08-19</c:v>
                </c:pt>
                <c:pt idx="50">
                  <c:v>2025-08-20</c:v>
                </c:pt>
                <c:pt idx="51">
                  <c:v>2025-08-21</c:v>
                </c:pt>
                <c:pt idx="52">
                  <c:v>2025-08-22</c:v>
                </c:pt>
                <c:pt idx="53">
                  <c:v>2025-08-25</c:v>
                </c:pt>
                <c:pt idx="54">
                  <c:v>2025-08-26</c:v>
                </c:pt>
                <c:pt idx="55">
                  <c:v>2025-08-27</c:v>
                </c:pt>
                <c:pt idx="56">
                  <c:v>2025-08-28</c:v>
                </c:pt>
                <c:pt idx="57">
                  <c:v>2025-08-29</c:v>
                </c:pt>
                <c:pt idx="58">
                  <c:v>2025-09-01</c:v>
                </c:pt>
                <c:pt idx="59">
                  <c:v>2025-09-02</c:v>
                </c:pt>
                <c:pt idx="60">
                  <c:v>2025-09-03</c:v>
                </c:pt>
                <c:pt idx="61">
                  <c:v>2025-09-04</c:v>
                </c:pt>
                <c:pt idx="62">
                  <c:v>2025-09-05</c:v>
                </c:pt>
                <c:pt idx="63">
                  <c:v>2025-09-08</c:v>
                </c:pt>
                <c:pt idx="64">
                  <c:v>2025-09-09</c:v>
                </c:pt>
                <c:pt idx="65">
                  <c:v>2025-09-10</c:v>
                </c:pt>
                <c:pt idx="66">
                  <c:v>2025-09-11</c:v>
                </c:pt>
                <c:pt idx="67">
                  <c:v>2025-09-12</c:v>
                </c:pt>
                <c:pt idx="68">
                  <c:v>2025-09-15</c:v>
                </c:pt>
                <c:pt idx="69">
                  <c:v>2025-09-16</c:v>
                </c:pt>
                <c:pt idx="70">
                  <c:v>2025-09-17</c:v>
                </c:pt>
                <c:pt idx="71">
                  <c:v>2025-09-18</c:v>
                </c:pt>
                <c:pt idx="72">
                  <c:v>2025-09-19</c:v>
                </c:pt>
                <c:pt idx="73">
                  <c:v>2025-09-22</c:v>
                </c:pt>
                <c:pt idx="74">
                  <c:v>2025-09-23</c:v>
                </c:pt>
                <c:pt idx="75">
                  <c:v>2025-09-24</c:v>
                </c:pt>
                <c:pt idx="76">
                  <c:v>2025-09-25</c:v>
                </c:pt>
                <c:pt idx="77">
                  <c:v>2025-09-26</c:v>
                </c:pt>
                <c:pt idx="78">
                  <c:v>2025-09-29</c:v>
                </c:pt>
                <c:pt idx="79">
                  <c:v>2025-09-30</c:v>
                </c:pt>
                <c:pt idx="80">
                  <c:v>2025-10-01</c:v>
                </c:pt>
                <c:pt idx="81">
                  <c:v>2025-10-02</c:v>
                </c:pt>
                <c:pt idx="82">
                  <c:v>2025-10-03</c:v>
                </c:pt>
                <c:pt idx="83">
                  <c:v>2025-10-06</c:v>
                </c:pt>
                <c:pt idx="84">
                  <c:v>2025-10-07</c:v>
                </c:pt>
                <c:pt idx="85">
                  <c:v>2025-10-08</c:v>
                </c:pt>
              </c:strCache>
            </c:strRef>
          </c:cat>
          <c:val>
            <c:numRef>
              <c:f>daily_pnl_close_pairs!$B$2:$B$87</c:f>
              <c:numCache>
                <c:formatCode>General</c:formatCode>
                <c:ptCount val="86"/>
                <c:pt idx="0">
                  <c:v>-17398</c:v>
                </c:pt>
                <c:pt idx="1">
                  <c:v>26305</c:v>
                </c:pt>
                <c:pt idx="2">
                  <c:v>-92510</c:v>
                </c:pt>
                <c:pt idx="3">
                  <c:v>29164</c:v>
                </c:pt>
                <c:pt idx="4">
                  <c:v>-16279</c:v>
                </c:pt>
                <c:pt idx="5">
                  <c:v>-47081</c:v>
                </c:pt>
                <c:pt idx="6">
                  <c:v>12793</c:v>
                </c:pt>
                <c:pt idx="7">
                  <c:v>41386</c:v>
                </c:pt>
                <c:pt idx="8">
                  <c:v>116644</c:v>
                </c:pt>
                <c:pt idx="9">
                  <c:v>186748</c:v>
                </c:pt>
                <c:pt idx="10">
                  <c:v>138480</c:v>
                </c:pt>
                <c:pt idx="11">
                  <c:v>220418</c:v>
                </c:pt>
                <c:pt idx="12">
                  <c:v>216484</c:v>
                </c:pt>
                <c:pt idx="13">
                  <c:v>270521</c:v>
                </c:pt>
                <c:pt idx="14">
                  <c:v>300077</c:v>
                </c:pt>
                <c:pt idx="15">
                  <c:v>290211</c:v>
                </c:pt>
                <c:pt idx="16">
                  <c:v>325843</c:v>
                </c:pt>
                <c:pt idx="17">
                  <c:v>323348</c:v>
                </c:pt>
                <c:pt idx="18">
                  <c:v>329565</c:v>
                </c:pt>
                <c:pt idx="19">
                  <c:v>323646</c:v>
                </c:pt>
                <c:pt idx="20">
                  <c:v>336025</c:v>
                </c:pt>
                <c:pt idx="21">
                  <c:v>335750</c:v>
                </c:pt>
                <c:pt idx="22">
                  <c:v>331002</c:v>
                </c:pt>
                <c:pt idx="23">
                  <c:v>327710</c:v>
                </c:pt>
                <c:pt idx="24">
                  <c:v>323721</c:v>
                </c:pt>
                <c:pt idx="25">
                  <c:v>330653</c:v>
                </c:pt>
                <c:pt idx="26">
                  <c:v>323277</c:v>
                </c:pt>
                <c:pt idx="27">
                  <c:v>329422</c:v>
                </c:pt>
                <c:pt idx="28">
                  <c:v>338487</c:v>
                </c:pt>
                <c:pt idx="29">
                  <c:v>329441</c:v>
                </c:pt>
                <c:pt idx="30">
                  <c:v>326152</c:v>
                </c:pt>
                <c:pt idx="31">
                  <c:v>313291</c:v>
                </c:pt>
                <c:pt idx="32">
                  <c:v>317920</c:v>
                </c:pt>
                <c:pt idx="33">
                  <c:v>308354</c:v>
                </c:pt>
                <c:pt idx="34">
                  <c:v>204135</c:v>
                </c:pt>
                <c:pt idx="35">
                  <c:v>93340</c:v>
                </c:pt>
                <c:pt idx="36">
                  <c:v>156684</c:v>
                </c:pt>
                <c:pt idx="37">
                  <c:v>88536</c:v>
                </c:pt>
                <c:pt idx="38">
                  <c:v>245741</c:v>
                </c:pt>
                <c:pt idx="39">
                  <c:v>177930</c:v>
                </c:pt>
                <c:pt idx="40">
                  <c:v>132841</c:v>
                </c:pt>
                <c:pt idx="41">
                  <c:v>99125</c:v>
                </c:pt>
                <c:pt idx="42">
                  <c:v>151999</c:v>
                </c:pt>
                <c:pt idx="43">
                  <c:v>131838</c:v>
                </c:pt>
                <c:pt idx="44">
                  <c:v>170966</c:v>
                </c:pt>
                <c:pt idx="45">
                  <c:v>226469</c:v>
                </c:pt>
                <c:pt idx="46">
                  <c:v>166087</c:v>
                </c:pt>
                <c:pt idx="47">
                  <c:v>165853</c:v>
                </c:pt>
                <c:pt idx="48">
                  <c:v>117314</c:v>
                </c:pt>
                <c:pt idx="49">
                  <c:v>29694</c:v>
                </c:pt>
                <c:pt idx="50">
                  <c:v>81881</c:v>
                </c:pt>
                <c:pt idx="51">
                  <c:v>103334</c:v>
                </c:pt>
                <c:pt idx="52">
                  <c:v>332660</c:v>
                </c:pt>
                <c:pt idx="53">
                  <c:v>307841</c:v>
                </c:pt>
                <c:pt idx="54">
                  <c:v>566276</c:v>
                </c:pt>
                <c:pt idx="55">
                  <c:v>718118</c:v>
                </c:pt>
                <c:pt idx="56">
                  <c:v>480142</c:v>
                </c:pt>
                <c:pt idx="57">
                  <c:v>549901</c:v>
                </c:pt>
                <c:pt idx="58">
                  <c:v>294590</c:v>
                </c:pt>
                <c:pt idx="59">
                  <c:v>530523</c:v>
                </c:pt>
                <c:pt idx="60">
                  <c:v>429801</c:v>
                </c:pt>
                <c:pt idx="61">
                  <c:v>560487</c:v>
                </c:pt>
                <c:pt idx="62">
                  <c:v>541632</c:v>
                </c:pt>
                <c:pt idx="63">
                  <c:v>536065</c:v>
                </c:pt>
                <c:pt idx="64">
                  <c:v>485454</c:v>
                </c:pt>
                <c:pt idx="65">
                  <c:v>510454</c:v>
                </c:pt>
                <c:pt idx="66">
                  <c:v>596711</c:v>
                </c:pt>
                <c:pt idx="67">
                  <c:v>496411</c:v>
                </c:pt>
                <c:pt idx="68">
                  <c:v>540119</c:v>
                </c:pt>
                <c:pt idx="69">
                  <c:v>642017</c:v>
                </c:pt>
                <c:pt idx="70">
                  <c:v>521116</c:v>
                </c:pt>
                <c:pt idx="71">
                  <c:v>635508</c:v>
                </c:pt>
                <c:pt idx="72">
                  <c:v>658196</c:v>
                </c:pt>
                <c:pt idx="73">
                  <c:v>659449</c:v>
                </c:pt>
                <c:pt idx="74">
                  <c:v>569835</c:v>
                </c:pt>
                <c:pt idx="75">
                  <c:v>443595</c:v>
                </c:pt>
                <c:pt idx="76">
                  <c:v>438475</c:v>
                </c:pt>
                <c:pt idx="77">
                  <c:v>481047</c:v>
                </c:pt>
                <c:pt idx="78">
                  <c:v>573698</c:v>
                </c:pt>
                <c:pt idx="79">
                  <c:v>541711</c:v>
                </c:pt>
                <c:pt idx="80">
                  <c:v>603656</c:v>
                </c:pt>
                <c:pt idx="81">
                  <c:v>498336</c:v>
                </c:pt>
                <c:pt idx="82">
                  <c:v>506399</c:v>
                </c:pt>
                <c:pt idx="83">
                  <c:v>644113</c:v>
                </c:pt>
                <c:pt idx="84">
                  <c:v>663149</c:v>
                </c:pt>
                <c:pt idx="85">
                  <c:v>698502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A-4304-B76C-0EC39B3CB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447312"/>
        <c:axId val="1958443472"/>
      </c:lineChart>
      <c:lineChart>
        <c:grouping val="standard"/>
        <c:varyColors val="0"/>
        <c:ser>
          <c:idx val="1"/>
          <c:order val="1"/>
          <c:tx>
            <c:strRef>
              <c:f>daily_pnl_close_pairs!$C$1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daily_pnl_close_pairs!$A$2:$A$87</c:f>
              <c:strCache>
                <c:ptCount val="86"/>
                <c:pt idx="0">
                  <c:v>2025-06-11</c:v>
                </c:pt>
                <c:pt idx="1">
                  <c:v>2025-06-12</c:v>
                </c:pt>
                <c:pt idx="2">
                  <c:v>2025-06-13</c:v>
                </c:pt>
                <c:pt idx="3">
                  <c:v>2025-06-16</c:v>
                </c:pt>
                <c:pt idx="4">
                  <c:v>2025-06-17</c:v>
                </c:pt>
                <c:pt idx="5">
                  <c:v>2025-06-18</c:v>
                </c:pt>
                <c:pt idx="6">
                  <c:v>2025-06-19</c:v>
                </c:pt>
                <c:pt idx="7">
                  <c:v>2025-06-20</c:v>
                </c:pt>
                <c:pt idx="8">
                  <c:v>2025-06-23</c:v>
                </c:pt>
                <c:pt idx="9">
                  <c:v>2025-06-24</c:v>
                </c:pt>
                <c:pt idx="10">
                  <c:v>2025-06-25</c:v>
                </c:pt>
                <c:pt idx="11">
                  <c:v>2025-06-26</c:v>
                </c:pt>
                <c:pt idx="12">
                  <c:v>2025-06-27</c:v>
                </c:pt>
                <c:pt idx="13">
                  <c:v>2025-06-30</c:v>
                </c:pt>
                <c:pt idx="14">
                  <c:v>2025-07-01</c:v>
                </c:pt>
                <c:pt idx="15">
                  <c:v>2025-07-02</c:v>
                </c:pt>
                <c:pt idx="16">
                  <c:v>2025-07-03</c:v>
                </c:pt>
                <c:pt idx="17">
                  <c:v>2025-07-04</c:v>
                </c:pt>
                <c:pt idx="18">
                  <c:v>2025-07-07</c:v>
                </c:pt>
                <c:pt idx="19">
                  <c:v>2025-07-08</c:v>
                </c:pt>
                <c:pt idx="20">
                  <c:v>2025-07-09</c:v>
                </c:pt>
                <c:pt idx="21">
                  <c:v>2025-07-10</c:v>
                </c:pt>
                <c:pt idx="22">
                  <c:v>2025-07-11</c:v>
                </c:pt>
                <c:pt idx="23">
                  <c:v>2025-07-14</c:v>
                </c:pt>
                <c:pt idx="24">
                  <c:v>2025-07-15</c:v>
                </c:pt>
                <c:pt idx="25">
                  <c:v>2025-07-16</c:v>
                </c:pt>
                <c:pt idx="26">
                  <c:v>2025-07-17</c:v>
                </c:pt>
                <c:pt idx="27">
                  <c:v>2025-07-18</c:v>
                </c:pt>
                <c:pt idx="28">
                  <c:v>2025-07-21</c:v>
                </c:pt>
                <c:pt idx="29">
                  <c:v>2025-07-22</c:v>
                </c:pt>
                <c:pt idx="30">
                  <c:v>2025-07-23</c:v>
                </c:pt>
                <c:pt idx="31">
                  <c:v>2025-07-24</c:v>
                </c:pt>
                <c:pt idx="32">
                  <c:v>2025-07-25</c:v>
                </c:pt>
                <c:pt idx="33">
                  <c:v>2025-07-28</c:v>
                </c:pt>
                <c:pt idx="34">
                  <c:v>2025-07-29</c:v>
                </c:pt>
                <c:pt idx="35">
                  <c:v>2025-07-30</c:v>
                </c:pt>
                <c:pt idx="36">
                  <c:v>2025-07-31</c:v>
                </c:pt>
                <c:pt idx="37">
                  <c:v>2025-08-01</c:v>
                </c:pt>
                <c:pt idx="38">
                  <c:v>2025-08-04</c:v>
                </c:pt>
                <c:pt idx="39">
                  <c:v>2025-08-05</c:v>
                </c:pt>
                <c:pt idx="40">
                  <c:v>2025-08-06</c:v>
                </c:pt>
                <c:pt idx="41">
                  <c:v>2025-08-07</c:v>
                </c:pt>
                <c:pt idx="42">
                  <c:v>2025-08-08</c:v>
                </c:pt>
                <c:pt idx="43">
                  <c:v>2025-08-11</c:v>
                </c:pt>
                <c:pt idx="44">
                  <c:v>2025-08-12</c:v>
                </c:pt>
                <c:pt idx="45">
                  <c:v>2025-08-13</c:v>
                </c:pt>
                <c:pt idx="46">
                  <c:v>2025-08-14</c:v>
                </c:pt>
                <c:pt idx="47">
                  <c:v>2025-08-15</c:v>
                </c:pt>
                <c:pt idx="48">
                  <c:v>2025-08-18</c:v>
                </c:pt>
                <c:pt idx="49">
                  <c:v>2025-08-19</c:v>
                </c:pt>
                <c:pt idx="50">
                  <c:v>2025-08-20</c:v>
                </c:pt>
                <c:pt idx="51">
                  <c:v>2025-08-21</c:v>
                </c:pt>
                <c:pt idx="52">
                  <c:v>2025-08-22</c:v>
                </c:pt>
                <c:pt idx="53">
                  <c:v>2025-08-25</c:v>
                </c:pt>
                <c:pt idx="54">
                  <c:v>2025-08-26</c:v>
                </c:pt>
                <c:pt idx="55">
                  <c:v>2025-08-27</c:v>
                </c:pt>
                <c:pt idx="56">
                  <c:v>2025-08-28</c:v>
                </c:pt>
                <c:pt idx="57">
                  <c:v>2025-08-29</c:v>
                </c:pt>
                <c:pt idx="58">
                  <c:v>2025-09-01</c:v>
                </c:pt>
                <c:pt idx="59">
                  <c:v>2025-09-02</c:v>
                </c:pt>
                <c:pt idx="60">
                  <c:v>2025-09-03</c:v>
                </c:pt>
                <c:pt idx="61">
                  <c:v>2025-09-04</c:v>
                </c:pt>
                <c:pt idx="62">
                  <c:v>2025-09-05</c:v>
                </c:pt>
                <c:pt idx="63">
                  <c:v>2025-09-08</c:v>
                </c:pt>
                <c:pt idx="64">
                  <c:v>2025-09-09</c:v>
                </c:pt>
                <c:pt idx="65">
                  <c:v>2025-09-10</c:v>
                </c:pt>
                <c:pt idx="66">
                  <c:v>2025-09-11</c:v>
                </c:pt>
                <c:pt idx="67">
                  <c:v>2025-09-12</c:v>
                </c:pt>
                <c:pt idx="68">
                  <c:v>2025-09-15</c:v>
                </c:pt>
                <c:pt idx="69">
                  <c:v>2025-09-16</c:v>
                </c:pt>
                <c:pt idx="70">
                  <c:v>2025-09-17</c:v>
                </c:pt>
                <c:pt idx="71">
                  <c:v>2025-09-18</c:v>
                </c:pt>
                <c:pt idx="72">
                  <c:v>2025-09-19</c:v>
                </c:pt>
                <c:pt idx="73">
                  <c:v>2025-09-22</c:v>
                </c:pt>
                <c:pt idx="74">
                  <c:v>2025-09-23</c:v>
                </c:pt>
                <c:pt idx="75">
                  <c:v>2025-09-24</c:v>
                </c:pt>
                <c:pt idx="76">
                  <c:v>2025-09-25</c:v>
                </c:pt>
                <c:pt idx="77">
                  <c:v>2025-09-26</c:v>
                </c:pt>
                <c:pt idx="78">
                  <c:v>2025-09-29</c:v>
                </c:pt>
                <c:pt idx="79">
                  <c:v>2025-09-30</c:v>
                </c:pt>
                <c:pt idx="80">
                  <c:v>2025-10-01</c:v>
                </c:pt>
                <c:pt idx="81">
                  <c:v>2025-10-02</c:v>
                </c:pt>
                <c:pt idx="82">
                  <c:v>2025-10-03</c:v>
                </c:pt>
                <c:pt idx="83">
                  <c:v>2025-10-06</c:v>
                </c:pt>
                <c:pt idx="84">
                  <c:v>2025-10-07</c:v>
                </c:pt>
                <c:pt idx="85">
                  <c:v>2025-10-08</c:v>
                </c:pt>
              </c:strCache>
            </c:strRef>
          </c:cat>
          <c:val>
            <c:numRef>
              <c:f>daily_pnl_close_pairs!$C$2:$C$87</c:f>
              <c:numCache>
                <c:formatCode>General</c:formatCode>
                <c:ptCount val="86"/>
                <c:pt idx="0">
                  <c:v>-6518876</c:v>
                </c:pt>
                <c:pt idx="1">
                  <c:v>-6518876</c:v>
                </c:pt>
                <c:pt idx="2">
                  <c:v>-6518876</c:v>
                </c:pt>
                <c:pt idx="3">
                  <c:v>-6518876</c:v>
                </c:pt>
                <c:pt idx="4">
                  <c:v>-6518876</c:v>
                </c:pt>
                <c:pt idx="5">
                  <c:v>-6518876</c:v>
                </c:pt>
                <c:pt idx="6">
                  <c:v>-6518876</c:v>
                </c:pt>
                <c:pt idx="7">
                  <c:v>-6518876</c:v>
                </c:pt>
                <c:pt idx="8">
                  <c:v>-6518876</c:v>
                </c:pt>
                <c:pt idx="9">
                  <c:v>-6518876</c:v>
                </c:pt>
                <c:pt idx="10">
                  <c:v>-6518876</c:v>
                </c:pt>
                <c:pt idx="11">
                  <c:v>-6518876</c:v>
                </c:pt>
                <c:pt idx="12">
                  <c:v>-5735929</c:v>
                </c:pt>
                <c:pt idx="13">
                  <c:v>-5735929</c:v>
                </c:pt>
                <c:pt idx="14">
                  <c:v>-5735929</c:v>
                </c:pt>
                <c:pt idx="15">
                  <c:v>-5735929</c:v>
                </c:pt>
                <c:pt idx="16">
                  <c:v>-5735929</c:v>
                </c:pt>
                <c:pt idx="17">
                  <c:v>-4819379</c:v>
                </c:pt>
                <c:pt idx="18">
                  <c:v>-4819379</c:v>
                </c:pt>
                <c:pt idx="19">
                  <c:v>-4819379</c:v>
                </c:pt>
                <c:pt idx="20">
                  <c:v>-4819379</c:v>
                </c:pt>
                <c:pt idx="21">
                  <c:v>-4819379</c:v>
                </c:pt>
                <c:pt idx="22">
                  <c:v>-4819379</c:v>
                </c:pt>
                <c:pt idx="23">
                  <c:v>-4819379</c:v>
                </c:pt>
                <c:pt idx="24">
                  <c:v>-4819379</c:v>
                </c:pt>
                <c:pt idx="25">
                  <c:v>-4819379</c:v>
                </c:pt>
                <c:pt idx="26">
                  <c:v>-4819379</c:v>
                </c:pt>
                <c:pt idx="27">
                  <c:v>-4819379</c:v>
                </c:pt>
                <c:pt idx="28">
                  <c:v>-4819379</c:v>
                </c:pt>
                <c:pt idx="29">
                  <c:v>-4819379</c:v>
                </c:pt>
                <c:pt idx="30">
                  <c:v>-4819379</c:v>
                </c:pt>
                <c:pt idx="31">
                  <c:v>-4819379</c:v>
                </c:pt>
                <c:pt idx="32">
                  <c:v>-4819379</c:v>
                </c:pt>
                <c:pt idx="33">
                  <c:v>-4819379</c:v>
                </c:pt>
                <c:pt idx="34">
                  <c:v>-14662736</c:v>
                </c:pt>
                <c:pt idx="35">
                  <c:v>-14662736</c:v>
                </c:pt>
                <c:pt idx="36">
                  <c:v>-14662736</c:v>
                </c:pt>
                <c:pt idx="37">
                  <c:v>-14662736</c:v>
                </c:pt>
                <c:pt idx="38">
                  <c:v>-14662736</c:v>
                </c:pt>
                <c:pt idx="39">
                  <c:v>-14662736</c:v>
                </c:pt>
                <c:pt idx="40">
                  <c:v>-14662736</c:v>
                </c:pt>
                <c:pt idx="41">
                  <c:v>-14662736</c:v>
                </c:pt>
                <c:pt idx="42">
                  <c:v>-14662736</c:v>
                </c:pt>
                <c:pt idx="43">
                  <c:v>-14662736</c:v>
                </c:pt>
                <c:pt idx="44">
                  <c:v>-14662736</c:v>
                </c:pt>
                <c:pt idx="45">
                  <c:v>-14662736</c:v>
                </c:pt>
                <c:pt idx="46">
                  <c:v>-14662736</c:v>
                </c:pt>
                <c:pt idx="47">
                  <c:v>-14662736</c:v>
                </c:pt>
                <c:pt idx="48">
                  <c:v>-21087514</c:v>
                </c:pt>
                <c:pt idx="49">
                  <c:v>-21087514</c:v>
                </c:pt>
                <c:pt idx="50">
                  <c:v>-21087514</c:v>
                </c:pt>
                <c:pt idx="51">
                  <c:v>-21087514</c:v>
                </c:pt>
                <c:pt idx="52">
                  <c:v>-21087514</c:v>
                </c:pt>
                <c:pt idx="53">
                  <c:v>-21087514</c:v>
                </c:pt>
                <c:pt idx="54">
                  <c:v>-21087514</c:v>
                </c:pt>
                <c:pt idx="55">
                  <c:v>-21087514</c:v>
                </c:pt>
                <c:pt idx="56">
                  <c:v>-21087514</c:v>
                </c:pt>
                <c:pt idx="57">
                  <c:v>-21087514</c:v>
                </c:pt>
                <c:pt idx="58">
                  <c:v>-21087514</c:v>
                </c:pt>
                <c:pt idx="59">
                  <c:v>-21087514</c:v>
                </c:pt>
                <c:pt idx="60">
                  <c:v>-19967667</c:v>
                </c:pt>
                <c:pt idx="61">
                  <c:v>-19967667</c:v>
                </c:pt>
                <c:pt idx="62">
                  <c:v>-19967667</c:v>
                </c:pt>
                <c:pt idx="63">
                  <c:v>-19967667</c:v>
                </c:pt>
                <c:pt idx="64">
                  <c:v>-19967667</c:v>
                </c:pt>
                <c:pt idx="65">
                  <c:v>-19967667</c:v>
                </c:pt>
                <c:pt idx="66">
                  <c:v>-19967667</c:v>
                </c:pt>
                <c:pt idx="67">
                  <c:v>-19967667</c:v>
                </c:pt>
                <c:pt idx="68">
                  <c:v>-24542583</c:v>
                </c:pt>
                <c:pt idx="69">
                  <c:v>-24542583</c:v>
                </c:pt>
                <c:pt idx="70">
                  <c:v>-24542583</c:v>
                </c:pt>
                <c:pt idx="71">
                  <c:v>-24542583</c:v>
                </c:pt>
                <c:pt idx="72">
                  <c:v>-24542583</c:v>
                </c:pt>
                <c:pt idx="73">
                  <c:v>-24542583</c:v>
                </c:pt>
                <c:pt idx="74">
                  <c:v>-24542583</c:v>
                </c:pt>
                <c:pt idx="75">
                  <c:v>-24542583</c:v>
                </c:pt>
                <c:pt idx="76">
                  <c:v>-24542583</c:v>
                </c:pt>
                <c:pt idx="77">
                  <c:v>-24542583</c:v>
                </c:pt>
                <c:pt idx="78">
                  <c:v>-24542583</c:v>
                </c:pt>
                <c:pt idx="79">
                  <c:v>-24542583</c:v>
                </c:pt>
                <c:pt idx="80">
                  <c:v>-24542583</c:v>
                </c:pt>
                <c:pt idx="81">
                  <c:v>-24542583</c:v>
                </c:pt>
                <c:pt idx="82">
                  <c:v>-24542583</c:v>
                </c:pt>
                <c:pt idx="83">
                  <c:v>-24542583</c:v>
                </c:pt>
                <c:pt idx="84">
                  <c:v>-24542583</c:v>
                </c:pt>
                <c:pt idx="85">
                  <c:v>-24542583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8A-4304-B76C-0EC39B3CBB0C}"/>
            </c:ext>
          </c:extLst>
        </c:ser>
        <c:ser>
          <c:idx val="2"/>
          <c:order val="2"/>
          <c:tx>
            <c:strRef>
              <c:f>daily_pnl_close_pairs!$E$1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daily_pnl_close_pairs!$A$2:$A$87</c:f>
              <c:strCache>
                <c:ptCount val="86"/>
                <c:pt idx="0">
                  <c:v>2025-06-11</c:v>
                </c:pt>
                <c:pt idx="1">
                  <c:v>2025-06-12</c:v>
                </c:pt>
                <c:pt idx="2">
                  <c:v>2025-06-13</c:v>
                </c:pt>
                <c:pt idx="3">
                  <c:v>2025-06-16</c:v>
                </c:pt>
                <c:pt idx="4">
                  <c:v>2025-06-17</c:v>
                </c:pt>
                <c:pt idx="5">
                  <c:v>2025-06-18</c:v>
                </c:pt>
                <c:pt idx="6">
                  <c:v>2025-06-19</c:v>
                </c:pt>
                <c:pt idx="7">
                  <c:v>2025-06-20</c:v>
                </c:pt>
                <c:pt idx="8">
                  <c:v>2025-06-23</c:v>
                </c:pt>
                <c:pt idx="9">
                  <c:v>2025-06-24</c:v>
                </c:pt>
                <c:pt idx="10">
                  <c:v>2025-06-25</c:v>
                </c:pt>
                <c:pt idx="11">
                  <c:v>2025-06-26</c:v>
                </c:pt>
                <c:pt idx="12">
                  <c:v>2025-06-27</c:v>
                </c:pt>
                <c:pt idx="13">
                  <c:v>2025-06-30</c:v>
                </c:pt>
                <c:pt idx="14">
                  <c:v>2025-07-01</c:v>
                </c:pt>
                <c:pt idx="15">
                  <c:v>2025-07-02</c:v>
                </c:pt>
                <c:pt idx="16">
                  <c:v>2025-07-03</c:v>
                </c:pt>
                <c:pt idx="17">
                  <c:v>2025-07-04</c:v>
                </c:pt>
                <c:pt idx="18">
                  <c:v>2025-07-07</c:v>
                </c:pt>
                <c:pt idx="19">
                  <c:v>2025-07-08</c:v>
                </c:pt>
                <c:pt idx="20">
                  <c:v>2025-07-09</c:v>
                </c:pt>
                <c:pt idx="21">
                  <c:v>2025-07-10</c:v>
                </c:pt>
                <c:pt idx="22">
                  <c:v>2025-07-11</c:v>
                </c:pt>
                <c:pt idx="23">
                  <c:v>2025-07-14</c:v>
                </c:pt>
                <c:pt idx="24">
                  <c:v>2025-07-15</c:v>
                </c:pt>
                <c:pt idx="25">
                  <c:v>2025-07-16</c:v>
                </c:pt>
                <c:pt idx="26">
                  <c:v>2025-07-17</c:v>
                </c:pt>
                <c:pt idx="27">
                  <c:v>2025-07-18</c:v>
                </c:pt>
                <c:pt idx="28">
                  <c:v>2025-07-21</c:v>
                </c:pt>
                <c:pt idx="29">
                  <c:v>2025-07-22</c:v>
                </c:pt>
                <c:pt idx="30">
                  <c:v>2025-07-23</c:v>
                </c:pt>
                <c:pt idx="31">
                  <c:v>2025-07-24</c:v>
                </c:pt>
                <c:pt idx="32">
                  <c:v>2025-07-25</c:v>
                </c:pt>
                <c:pt idx="33">
                  <c:v>2025-07-28</c:v>
                </c:pt>
                <c:pt idx="34">
                  <c:v>2025-07-29</c:v>
                </c:pt>
                <c:pt idx="35">
                  <c:v>2025-07-30</c:v>
                </c:pt>
                <c:pt idx="36">
                  <c:v>2025-07-31</c:v>
                </c:pt>
                <c:pt idx="37">
                  <c:v>2025-08-01</c:v>
                </c:pt>
                <c:pt idx="38">
                  <c:v>2025-08-04</c:v>
                </c:pt>
                <c:pt idx="39">
                  <c:v>2025-08-05</c:v>
                </c:pt>
                <c:pt idx="40">
                  <c:v>2025-08-06</c:v>
                </c:pt>
                <c:pt idx="41">
                  <c:v>2025-08-07</c:v>
                </c:pt>
                <c:pt idx="42">
                  <c:v>2025-08-08</c:v>
                </c:pt>
                <c:pt idx="43">
                  <c:v>2025-08-11</c:v>
                </c:pt>
                <c:pt idx="44">
                  <c:v>2025-08-12</c:v>
                </c:pt>
                <c:pt idx="45">
                  <c:v>2025-08-13</c:v>
                </c:pt>
                <c:pt idx="46">
                  <c:v>2025-08-14</c:v>
                </c:pt>
                <c:pt idx="47">
                  <c:v>2025-08-15</c:v>
                </c:pt>
                <c:pt idx="48">
                  <c:v>2025-08-18</c:v>
                </c:pt>
                <c:pt idx="49">
                  <c:v>2025-08-19</c:v>
                </c:pt>
                <c:pt idx="50">
                  <c:v>2025-08-20</c:v>
                </c:pt>
                <c:pt idx="51">
                  <c:v>2025-08-21</c:v>
                </c:pt>
                <c:pt idx="52">
                  <c:v>2025-08-22</c:v>
                </c:pt>
                <c:pt idx="53">
                  <c:v>2025-08-25</c:v>
                </c:pt>
                <c:pt idx="54">
                  <c:v>2025-08-26</c:v>
                </c:pt>
                <c:pt idx="55">
                  <c:v>2025-08-27</c:v>
                </c:pt>
                <c:pt idx="56">
                  <c:v>2025-08-28</c:v>
                </c:pt>
                <c:pt idx="57">
                  <c:v>2025-08-29</c:v>
                </c:pt>
                <c:pt idx="58">
                  <c:v>2025-09-01</c:v>
                </c:pt>
                <c:pt idx="59">
                  <c:v>2025-09-02</c:v>
                </c:pt>
                <c:pt idx="60">
                  <c:v>2025-09-03</c:v>
                </c:pt>
                <c:pt idx="61">
                  <c:v>2025-09-04</c:v>
                </c:pt>
                <c:pt idx="62">
                  <c:v>2025-09-05</c:v>
                </c:pt>
                <c:pt idx="63">
                  <c:v>2025-09-08</c:v>
                </c:pt>
                <c:pt idx="64">
                  <c:v>2025-09-09</c:v>
                </c:pt>
                <c:pt idx="65">
                  <c:v>2025-09-10</c:v>
                </c:pt>
                <c:pt idx="66">
                  <c:v>2025-09-11</c:v>
                </c:pt>
                <c:pt idx="67">
                  <c:v>2025-09-12</c:v>
                </c:pt>
                <c:pt idx="68">
                  <c:v>2025-09-15</c:v>
                </c:pt>
                <c:pt idx="69">
                  <c:v>2025-09-16</c:v>
                </c:pt>
                <c:pt idx="70">
                  <c:v>2025-09-17</c:v>
                </c:pt>
                <c:pt idx="71">
                  <c:v>2025-09-18</c:v>
                </c:pt>
                <c:pt idx="72">
                  <c:v>2025-09-19</c:v>
                </c:pt>
                <c:pt idx="73">
                  <c:v>2025-09-22</c:v>
                </c:pt>
                <c:pt idx="74">
                  <c:v>2025-09-23</c:v>
                </c:pt>
                <c:pt idx="75">
                  <c:v>2025-09-24</c:v>
                </c:pt>
                <c:pt idx="76">
                  <c:v>2025-09-25</c:v>
                </c:pt>
                <c:pt idx="77">
                  <c:v>2025-09-26</c:v>
                </c:pt>
                <c:pt idx="78">
                  <c:v>2025-09-29</c:v>
                </c:pt>
                <c:pt idx="79">
                  <c:v>2025-09-30</c:v>
                </c:pt>
                <c:pt idx="80">
                  <c:v>2025-10-01</c:v>
                </c:pt>
                <c:pt idx="81">
                  <c:v>2025-10-02</c:v>
                </c:pt>
                <c:pt idx="82">
                  <c:v>2025-10-03</c:v>
                </c:pt>
                <c:pt idx="83">
                  <c:v>2025-10-06</c:v>
                </c:pt>
                <c:pt idx="84">
                  <c:v>2025-10-07</c:v>
                </c:pt>
                <c:pt idx="85">
                  <c:v>2025-10-08</c:v>
                </c:pt>
              </c:strCache>
            </c:strRef>
          </c:cat>
          <c:val>
            <c:numRef>
              <c:f>daily_pnl_close_pairs!$E$2:$E$87</c:f>
              <c:numCache>
                <c:formatCode>General</c:formatCode>
                <c:ptCount val="86"/>
                <c:pt idx="0">
                  <c:v>-660892</c:v>
                </c:pt>
                <c:pt idx="1">
                  <c:v>-677801</c:v>
                </c:pt>
                <c:pt idx="2">
                  <c:v>-395888</c:v>
                </c:pt>
                <c:pt idx="3">
                  <c:v>-675860</c:v>
                </c:pt>
                <c:pt idx="4">
                  <c:v>-402876</c:v>
                </c:pt>
                <c:pt idx="5">
                  <c:v>-359692</c:v>
                </c:pt>
                <c:pt idx="6">
                  <c:v>-403449</c:v>
                </c:pt>
                <c:pt idx="7">
                  <c:v>-415971</c:v>
                </c:pt>
                <c:pt idx="8">
                  <c:v>-519249</c:v>
                </c:pt>
                <c:pt idx="9">
                  <c:v>-957605</c:v>
                </c:pt>
                <c:pt idx="10">
                  <c:v>-876580</c:v>
                </c:pt>
                <c:pt idx="11">
                  <c:v>-1051779</c:v>
                </c:pt>
                <c:pt idx="12">
                  <c:v>-2528909</c:v>
                </c:pt>
                <c:pt idx="13">
                  <c:v>-2678425</c:v>
                </c:pt>
                <c:pt idx="14">
                  <c:v>-2765749</c:v>
                </c:pt>
                <c:pt idx="15">
                  <c:v>-2775362</c:v>
                </c:pt>
                <c:pt idx="16">
                  <c:v>-2879874</c:v>
                </c:pt>
                <c:pt idx="17">
                  <c:v>-3974866</c:v>
                </c:pt>
                <c:pt idx="18">
                  <c:v>-3945150</c:v>
                </c:pt>
                <c:pt idx="19">
                  <c:v>-3926376</c:v>
                </c:pt>
                <c:pt idx="20">
                  <c:v>-3956098</c:v>
                </c:pt>
                <c:pt idx="21">
                  <c:v>-3961013</c:v>
                </c:pt>
                <c:pt idx="22">
                  <c:v>-3944646</c:v>
                </c:pt>
                <c:pt idx="23">
                  <c:v>-3936027</c:v>
                </c:pt>
                <c:pt idx="24">
                  <c:v>-3911774</c:v>
                </c:pt>
                <c:pt idx="25">
                  <c:v>-3912006</c:v>
                </c:pt>
                <c:pt idx="26">
                  <c:v>-3936365</c:v>
                </c:pt>
                <c:pt idx="27">
                  <c:v>-3945522</c:v>
                </c:pt>
                <c:pt idx="28">
                  <c:v>-3962015</c:v>
                </c:pt>
                <c:pt idx="29">
                  <c:v>-3953857</c:v>
                </c:pt>
                <c:pt idx="30">
                  <c:v>-3979865</c:v>
                </c:pt>
                <c:pt idx="31">
                  <c:v>-3976775</c:v>
                </c:pt>
                <c:pt idx="32">
                  <c:v>-3980061</c:v>
                </c:pt>
                <c:pt idx="33">
                  <c:v>-3969076</c:v>
                </c:pt>
                <c:pt idx="34">
                  <c:v>-9880065</c:v>
                </c:pt>
                <c:pt idx="35">
                  <c:v>-9790123</c:v>
                </c:pt>
                <c:pt idx="36">
                  <c:v>-9788971</c:v>
                </c:pt>
                <c:pt idx="37">
                  <c:v>-9455038</c:v>
                </c:pt>
                <c:pt idx="38">
                  <c:v>-9671645</c:v>
                </c:pt>
                <c:pt idx="39">
                  <c:v>-9719342</c:v>
                </c:pt>
                <c:pt idx="40">
                  <c:v>-9733460</c:v>
                </c:pt>
                <c:pt idx="41">
                  <c:v>-9740645</c:v>
                </c:pt>
                <c:pt idx="42">
                  <c:v>-9891874</c:v>
                </c:pt>
                <c:pt idx="43">
                  <c:v>-9851983</c:v>
                </c:pt>
                <c:pt idx="44">
                  <c:v>-10013229</c:v>
                </c:pt>
                <c:pt idx="45">
                  <c:v>-10133337</c:v>
                </c:pt>
                <c:pt idx="46">
                  <c:v>-10054598</c:v>
                </c:pt>
                <c:pt idx="47">
                  <c:v>-10088770</c:v>
                </c:pt>
                <c:pt idx="48">
                  <c:v>-11027439</c:v>
                </c:pt>
                <c:pt idx="49">
                  <c:v>-10889485</c:v>
                </c:pt>
                <c:pt idx="50">
                  <c:v>-10772372</c:v>
                </c:pt>
                <c:pt idx="51">
                  <c:v>-10636793</c:v>
                </c:pt>
                <c:pt idx="52">
                  <c:v>-11347476</c:v>
                </c:pt>
                <c:pt idx="53">
                  <c:v>-11314725</c:v>
                </c:pt>
                <c:pt idx="54">
                  <c:v>-11321638</c:v>
                </c:pt>
                <c:pt idx="55">
                  <c:v>-11155852</c:v>
                </c:pt>
                <c:pt idx="56">
                  <c:v>-11300280</c:v>
                </c:pt>
                <c:pt idx="57">
                  <c:v>-11173125</c:v>
                </c:pt>
                <c:pt idx="58">
                  <c:v>-10955632</c:v>
                </c:pt>
                <c:pt idx="59">
                  <c:v>-10991324</c:v>
                </c:pt>
                <c:pt idx="60">
                  <c:v>-12244687</c:v>
                </c:pt>
                <c:pt idx="61">
                  <c:v>-12498327</c:v>
                </c:pt>
                <c:pt idx="62">
                  <c:v>-12491126</c:v>
                </c:pt>
                <c:pt idx="63">
                  <c:v>-12532105</c:v>
                </c:pt>
                <c:pt idx="64">
                  <c:v>-12498190</c:v>
                </c:pt>
                <c:pt idx="65">
                  <c:v>-12664318</c:v>
                </c:pt>
                <c:pt idx="66">
                  <c:v>-12967871</c:v>
                </c:pt>
                <c:pt idx="67">
                  <c:v>-12948085</c:v>
                </c:pt>
                <c:pt idx="68">
                  <c:v>-17079704</c:v>
                </c:pt>
                <c:pt idx="69">
                  <c:v>-17152418</c:v>
                </c:pt>
                <c:pt idx="70">
                  <c:v>-17035932</c:v>
                </c:pt>
                <c:pt idx="71">
                  <c:v>-17245701</c:v>
                </c:pt>
                <c:pt idx="72">
                  <c:v>-17206427</c:v>
                </c:pt>
                <c:pt idx="73">
                  <c:v>-17274717</c:v>
                </c:pt>
                <c:pt idx="74">
                  <c:v>-17261933</c:v>
                </c:pt>
                <c:pt idx="75">
                  <c:v>-17149183</c:v>
                </c:pt>
                <c:pt idx="76">
                  <c:v>-16990194</c:v>
                </c:pt>
                <c:pt idx="77">
                  <c:v>-17173689</c:v>
                </c:pt>
                <c:pt idx="78">
                  <c:v>-17424991</c:v>
                </c:pt>
                <c:pt idx="79">
                  <c:v>-17441124</c:v>
                </c:pt>
                <c:pt idx="80">
                  <c:v>-17552942</c:v>
                </c:pt>
                <c:pt idx="81">
                  <c:v>-17505487</c:v>
                </c:pt>
                <c:pt idx="82">
                  <c:v>-17529495</c:v>
                </c:pt>
                <c:pt idx="83">
                  <c:v>-17696243</c:v>
                </c:pt>
                <c:pt idx="84">
                  <c:v>-17580601</c:v>
                </c:pt>
                <c:pt idx="85">
                  <c:v>-17617068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8A-4304-B76C-0EC39B3CB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798623"/>
        <c:axId val="1807796223"/>
      </c:lineChart>
      <c:catAx>
        <c:axId val="195844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443472"/>
        <c:crosses val="autoZero"/>
        <c:auto val="1"/>
        <c:lblAlgn val="ctr"/>
        <c:lblOffset val="100"/>
        <c:noMultiLvlLbl val="0"/>
      </c:catAx>
      <c:valAx>
        <c:axId val="195844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447312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807796223"/>
        <c:scaling>
          <c:orientation val="minMax"/>
          <c:max val="3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798623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 usage, net upfront)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807798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77962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7</xdr:row>
      <xdr:rowOff>133350</xdr:rowOff>
    </xdr:from>
    <xdr:to>
      <xdr:col>17</xdr:col>
      <xdr:colOff>0</xdr:colOff>
      <xdr:row>24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BD0EEB-D8F5-1EFC-89CB-897C59983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52387</xdr:rowOff>
    </xdr:from>
    <xdr:to>
      <xdr:col>18</xdr:col>
      <xdr:colOff>228600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E98004-EEF2-CAA7-C13B-B296435C2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15</xdr:col>
      <xdr:colOff>304800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6F628B-5F66-4280-B39E-C12816478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opLeftCell="F1" workbookViewId="0">
      <selection sqref="A1:AE11"/>
    </sheetView>
  </sheetViews>
  <sheetFormatPr defaultRowHeight="15" x14ac:dyDescent="0.25"/>
  <cols>
    <col min="1" max="1" width="18.28515625" bestFit="1" customWidth="1"/>
    <col min="17" max="17" width="15.28515625" bestFit="1" customWidth="1"/>
    <col min="18" max="18" width="14.28515625" bestFit="1" customWidth="1"/>
    <col min="29" max="29" width="11.5703125" bestFit="1" customWidth="1"/>
    <col min="30" max="31" width="13.285156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45819</v>
      </c>
      <c r="B2" t="s">
        <v>31</v>
      </c>
      <c r="C2">
        <v>41</v>
      </c>
      <c r="D2" t="s">
        <v>32</v>
      </c>
      <c r="E2" t="s">
        <v>33</v>
      </c>
      <c r="F2" t="s">
        <v>34</v>
      </c>
      <c r="G2" t="s">
        <v>35</v>
      </c>
      <c r="H2">
        <v>43</v>
      </c>
      <c r="I2" t="s">
        <v>32</v>
      </c>
      <c r="J2" t="s">
        <v>33</v>
      </c>
      <c r="K2" t="s">
        <v>36</v>
      </c>
      <c r="L2" t="s">
        <v>37</v>
      </c>
      <c r="M2">
        <v>0.93</v>
      </c>
      <c r="N2">
        <v>65.599999999999994</v>
      </c>
      <c r="O2">
        <v>48</v>
      </c>
      <c r="P2">
        <v>39.5</v>
      </c>
      <c r="Q2" s="3">
        <v>25000000</v>
      </c>
      <c r="R2" s="3">
        <v>26900000</v>
      </c>
      <c r="S2">
        <v>-782947</v>
      </c>
      <c r="T2">
        <v>243</v>
      </c>
      <c r="U2">
        <v>323</v>
      </c>
      <c r="W2">
        <v>799769</v>
      </c>
      <c r="X2" t="s">
        <v>38</v>
      </c>
      <c r="Y2" t="s">
        <v>39</v>
      </c>
      <c r="Z2" t="s">
        <v>40</v>
      </c>
      <c r="AA2" t="s">
        <v>41</v>
      </c>
      <c r="AC2" s="3">
        <v>120000</v>
      </c>
      <c r="AD2" s="3">
        <v>1487247.3921971261</v>
      </c>
      <c r="AE2" s="3">
        <v>1779841.1668375561</v>
      </c>
    </row>
    <row r="3" spans="1:31" x14ac:dyDescent="0.25">
      <c r="A3" s="2">
        <v>45819</v>
      </c>
      <c r="B3" t="s">
        <v>42</v>
      </c>
      <c r="C3">
        <v>42</v>
      </c>
      <c r="D3" t="s">
        <v>32</v>
      </c>
      <c r="E3" t="s">
        <v>33</v>
      </c>
      <c r="F3" t="s">
        <v>34</v>
      </c>
      <c r="G3" t="s">
        <v>35</v>
      </c>
      <c r="H3">
        <v>43</v>
      </c>
      <c r="I3" t="s">
        <v>32</v>
      </c>
      <c r="J3" t="s">
        <v>33</v>
      </c>
      <c r="K3" t="s">
        <v>36</v>
      </c>
      <c r="L3" t="s">
        <v>37</v>
      </c>
      <c r="M3">
        <v>5.18</v>
      </c>
      <c r="N3">
        <v>18.600000000000001</v>
      </c>
      <c r="O3">
        <v>10.1</v>
      </c>
      <c r="P3">
        <v>38.299999999999997</v>
      </c>
      <c r="Q3" s="3">
        <v>140000000</v>
      </c>
      <c r="R3" s="3">
        <v>27000000</v>
      </c>
      <c r="S3">
        <v>-916550</v>
      </c>
      <c r="T3">
        <v>41</v>
      </c>
      <c r="U3">
        <v>323</v>
      </c>
      <c r="W3">
        <v>672050</v>
      </c>
      <c r="X3" t="s">
        <v>43</v>
      </c>
      <c r="Y3" t="s">
        <v>44</v>
      </c>
      <c r="Z3" t="s">
        <v>45</v>
      </c>
      <c r="AA3" t="s">
        <v>46</v>
      </c>
      <c r="AC3" s="3">
        <v>141400</v>
      </c>
      <c r="AD3" s="3">
        <v>1636690.7597535939</v>
      </c>
      <c r="AE3" s="3">
        <v>1816297.946784951</v>
      </c>
    </row>
    <row r="4" spans="1:31" x14ac:dyDescent="0.25">
      <c r="A4" s="2">
        <v>45819</v>
      </c>
      <c r="B4" t="s">
        <v>35</v>
      </c>
      <c r="C4">
        <v>43</v>
      </c>
      <c r="D4" t="s">
        <v>32</v>
      </c>
      <c r="E4" t="s">
        <v>33</v>
      </c>
      <c r="F4" t="s">
        <v>36</v>
      </c>
      <c r="G4" t="s">
        <v>35</v>
      </c>
      <c r="H4">
        <v>43</v>
      </c>
      <c r="I4" t="s">
        <v>47</v>
      </c>
      <c r="J4" t="s">
        <v>33</v>
      </c>
      <c r="K4" t="s">
        <v>34</v>
      </c>
      <c r="L4" t="s">
        <v>37</v>
      </c>
      <c r="M4">
        <v>0.32</v>
      </c>
      <c r="N4">
        <v>126.4</v>
      </c>
      <c r="O4">
        <v>90.2</v>
      </c>
      <c r="P4">
        <v>30.2</v>
      </c>
      <c r="Q4" s="3">
        <v>11400000</v>
      </c>
      <c r="R4" s="3">
        <v>35000000</v>
      </c>
      <c r="S4">
        <v>-4819379</v>
      </c>
      <c r="T4">
        <v>323</v>
      </c>
      <c r="U4">
        <v>57</v>
      </c>
      <c r="W4">
        <v>-4127075</v>
      </c>
      <c r="X4" t="s">
        <v>48</v>
      </c>
      <c r="Y4" t="s">
        <v>49</v>
      </c>
      <c r="Z4" t="s">
        <v>50</v>
      </c>
      <c r="AC4" s="3">
        <v>102828</v>
      </c>
      <c r="AD4" s="3">
        <v>763570.59548254614</v>
      </c>
      <c r="AE4" s="3">
        <v>64241.186148021246</v>
      </c>
    </row>
    <row r="5" spans="1:31" x14ac:dyDescent="0.25">
      <c r="A5" s="2">
        <v>45867</v>
      </c>
      <c r="B5" t="s">
        <v>35</v>
      </c>
      <c r="C5">
        <v>43</v>
      </c>
      <c r="D5" t="s">
        <v>32</v>
      </c>
      <c r="E5" t="s">
        <v>33</v>
      </c>
      <c r="F5" t="s">
        <v>36</v>
      </c>
      <c r="G5" t="s">
        <v>35</v>
      </c>
      <c r="H5">
        <v>43</v>
      </c>
      <c r="I5" t="s">
        <v>47</v>
      </c>
      <c r="J5" t="s">
        <v>33</v>
      </c>
      <c r="K5" t="s">
        <v>34</v>
      </c>
      <c r="L5" t="s">
        <v>37</v>
      </c>
      <c r="M5">
        <v>0.33</v>
      </c>
      <c r="N5">
        <v>124.5</v>
      </c>
      <c r="O5">
        <v>55.7</v>
      </c>
      <c r="P5">
        <v>39.9</v>
      </c>
      <c r="Q5" s="3">
        <v>11500000</v>
      </c>
      <c r="R5" s="3">
        <v>35000000</v>
      </c>
      <c r="S5">
        <v>-4551770</v>
      </c>
      <c r="T5">
        <v>305</v>
      </c>
      <c r="U5">
        <v>54</v>
      </c>
      <c r="W5">
        <v>-3803514</v>
      </c>
      <c r="X5" t="s">
        <v>51</v>
      </c>
      <c r="Y5" t="s">
        <v>52</v>
      </c>
      <c r="Z5" t="s">
        <v>53</v>
      </c>
      <c r="AC5" s="3">
        <v>64055</v>
      </c>
      <c r="AD5" s="3">
        <v>710770.02053388092</v>
      </c>
      <c r="AE5" s="3">
        <v>14227.98815767525</v>
      </c>
    </row>
    <row r="6" spans="1:31" x14ac:dyDescent="0.25">
      <c r="A6" s="2">
        <v>45867</v>
      </c>
      <c r="B6" t="s">
        <v>31</v>
      </c>
      <c r="C6">
        <v>41</v>
      </c>
      <c r="D6" t="s">
        <v>32</v>
      </c>
      <c r="E6" t="s">
        <v>33</v>
      </c>
      <c r="F6" t="s">
        <v>34</v>
      </c>
      <c r="G6" t="s">
        <v>35</v>
      </c>
      <c r="H6">
        <v>43</v>
      </c>
      <c r="I6" t="s">
        <v>32</v>
      </c>
      <c r="J6" t="s">
        <v>33</v>
      </c>
      <c r="K6" t="s">
        <v>36</v>
      </c>
      <c r="L6" t="s">
        <v>37</v>
      </c>
      <c r="M6">
        <v>0.92</v>
      </c>
      <c r="N6">
        <v>71.5</v>
      </c>
      <c r="O6">
        <v>49.7</v>
      </c>
      <c r="P6">
        <v>26.3</v>
      </c>
      <c r="Q6" s="3">
        <v>25000000</v>
      </c>
      <c r="R6" s="3">
        <v>27200000</v>
      </c>
      <c r="S6">
        <v>-723323</v>
      </c>
      <c r="T6">
        <v>224</v>
      </c>
      <c r="U6">
        <v>305</v>
      </c>
      <c r="W6">
        <v>1046465</v>
      </c>
      <c r="X6" t="s">
        <v>54</v>
      </c>
      <c r="Y6" t="s">
        <v>55</v>
      </c>
      <c r="Z6" t="s">
        <v>56</v>
      </c>
      <c r="AC6" s="3">
        <v>124250</v>
      </c>
      <c r="AD6" s="3">
        <v>1465264.8870636551</v>
      </c>
      <c r="AE6" s="3">
        <v>1732139.505015739</v>
      </c>
    </row>
    <row r="7" spans="1:31" x14ac:dyDescent="0.25">
      <c r="A7" s="2">
        <v>45867</v>
      </c>
      <c r="B7" t="s">
        <v>35</v>
      </c>
      <c r="C7">
        <v>42</v>
      </c>
      <c r="D7" t="s">
        <v>32</v>
      </c>
      <c r="E7" t="s">
        <v>33</v>
      </c>
      <c r="F7" t="s">
        <v>36</v>
      </c>
      <c r="G7" t="s">
        <v>35</v>
      </c>
      <c r="H7">
        <v>43</v>
      </c>
      <c r="I7" t="s">
        <v>47</v>
      </c>
      <c r="J7" t="s">
        <v>33</v>
      </c>
      <c r="K7" t="s">
        <v>34</v>
      </c>
      <c r="L7" t="s">
        <v>37</v>
      </c>
      <c r="M7">
        <v>0.31</v>
      </c>
      <c r="N7">
        <v>89</v>
      </c>
      <c r="O7">
        <v>59.2</v>
      </c>
      <c r="P7">
        <v>21.8</v>
      </c>
      <c r="Q7" s="3">
        <v>10900000</v>
      </c>
      <c r="R7" s="3">
        <v>35000000</v>
      </c>
      <c r="S7">
        <v>-4568264</v>
      </c>
      <c r="T7">
        <v>275</v>
      </c>
      <c r="U7">
        <v>54</v>
      </c>
      <c r="W7">
        <v>-4038410</v>
      </c>
      <c r="X7" t="s">
        <v>57</v>
      </c>
      <c r="Y7" t="s">
        <v>58</v>
      </c>
      <c r="Z7" t="s">
        <v>59</v>
      </c>
      <c r="AC7" s="3">
        <v>64528</v>
      </c>
      <c r="AD7" s="3">
        <v>336480.49281314178</v>
      </c>
      <c r="AE7" s="3">
        <v>-289511.28575866122</v>
      </c>
    </row>
    <row r="8" spans="1:31" x14ac:dyDescent="0.25">
      <c r="A8" s="2">
        <v>45887</v>
      </c>
      <c r="B8" t="s">
        <v>35</v>
      </c>
      <c r="C8">
        <v>43</v>
      </c>
      <c r="D8" t="s">
        <v>32</v>
      </c>
      <c r="E8" t="s">
        <v>33</v>
      </c>
      <c r="F8" t="s">
        <v>36</v>
      </c>
      <c r="G8" t="s">
        <v>35</v>
      </c>
      <c r="H8">
        <v>43</v>
      </c>
      <c r="I8" t="s">
        <v>47</v>
      </c>
      <c r="J8" t="s">
        <v>33</v>
      </c>
      <c r="K8" t="s">
        <v>34</v>
      </c>
      <c r="L8" t="s">
        <v>37</v>
      </c>
      <c r="M8">
        <v>0.33</v>
      </c>
      <c r="N8">
        <v>126</v>
      </c>
      <c r="O8">
        <v>56.4</v>
      </c>
      <c r="P8">
        <v>42.7</v>
      </c>
      <c r="Q8" s="3">
        <v>11600000</v>
      </c>
      <c r="R8" s="3">
        <v>35000000</v>
      </c>
      <c r="S8">
        <v>-4559703</v>
      </c>
      <c r="T8">
        <v>306</v>
      </c>
      <c r="U8">
        <v>52</v>
      </c>
      <c r="W8">
        <v>-3788648</v>
      </c>
      <c r="X8" t="s">
        <v>60</v>
      </c>
      <c r="Y8" t="s">
        <v>61</v>
      </c>
      <c r="Z8" t="s">
        <v>62</v>
      </c>
      <c r="AC8" s="3">
        <v>65424</v>
      </c>
      <c r="AD8" s="3">
        <v>750558.79534565366</v>
      </c>
      <c r="AE8" s="3">
        <v>51773.63352890755</v>
      </c>
    </row>
    <row r="9" spans="1:31" x14ac:dyDescent="0.25">
      <c r="A9" s="2">
        <v>45887</v>
      </c>
      <c r="B9" t="s">
        <v>31</v>
      </c>
      <c r="C9">
        <v>41</v>
      </c>
      <c r="D9" t="s">
        <v>32</v>
      </c>
      <c r="E9" t="s">
        <v>33</v>
      </c>
      <c r="F9" t="s">
        <v>34</v>
      </c>
      <c r="G9" t="s">
        <v>35</v>
      </c>
      <c r="H9">
        <v>43</v>
      </c>
      <c r="I9" t="s">
        <v>32</v>
      </c>
      <c r="J9" t="s">
        <v>33</v>
      </c>
      <c r="K9" t="s">
        <v>36</v>
      </c>
      <c r="L9" t="s">
        <v>37</v>
      </c>
      <c r="M9">
        <v>0.91</v>
      </c>
      <c r="N9">
        <v>75.400000000000006</v>
      </c>
      <c r="O9">
        <v>60.2</v>
      </c>
      <c r="P9">
        <v>35.200000000000003</v>
      </c>
      <c r="Q9" s="3">
        <v>25000000</v>
      </c>
      <c r="R9" s="3">
        <v>27500000</v>
      </c>
      <c r="S9">
        <v>-745228</v>
      </c>
      <c r="T9">
        <v>220</v>
      </c>
      <c r="U9">
        <v>306</v>
      </c>
      <c r="W9">
        <v>1082703</v>
      </c>
      <c r="X9" t="s">
        <v>63</v>
      </c>
      <c r="Y9" t="s">
        <v>64</v>
      </c>
      <c r="Z9" t="s">
        <v>65</v>
      </c>
      <c r="AC9" s="3">
        <v>150500</v>
      </c>
      <c r="AD9" s="3">
        <v>1540527.036276523</v>
      </c>
      <c r="AE9" s="3">
        <v>1786212.0960073411</v>
      </c>
    </row>
    <row r="10" spans="1:31" x14ac:dyDescent="0.25">
      <c r="A10" s="2">
        <v>45887</v>
      </c>
      <c r="B10" t="s">
        <v>66</v>
      </c>
      <c r="C10">
        <v>41</v>
      </c>
      <c r="D10" t="s">
        <v>32</v>
      </c>
      <c r="E10" t="s">
        <v>33</v>
      </c>
      <c r="F10" t="s">
        <v>34</v>
      </c>
      <c r="G10" t="s">
        <v>35</v>
      </c>
      <c r="H10">
        <v>43</v>
      </c>
      <c r="I10" t="s">
        <v>32</v>
      </c>
      <c r="J10" t="s">
        <v>33</v>
      </c>
      <c r="K10" t="s">
        <v>36</v>
      </c>
      <c r="L10" t="s">
        <v>37</v>
      </c>
      <c r="M10">
        <v>4.8499999999999996</v>
      </c>
      <c r="N10">
        <v>14.5</v>
      </c>
      <c r="O10">
        <v>15.7</v>
      </c>
      <c r="P10">
        <v>28.3</v>
      </c>
      <c r="Q10" s="3">
        <v>140000000</v>
      </c>
      <c r="R10" s="3">
        <v>28900000</v>
      </c>
      <c r="S10">
        <v>-1119847</v>
      </c>
      <c r="T10">
        <v>40</v>
      </c>
      <c r="U10">
        <v>306</v>
      </c>
      <c r="W10">
        <v>801142</v>
      </c>
      <c r="X10" t="s">
        <v>67</v>
      </c>
      <c r="Y10" t="s">
        <v>68</v>
      </c>
      <c r="Z10" t="s">
        <v>69</v>
      </c>
      <c r="AC10" s="3">
        <v>219800</v>
      </c>
      <c r="AD10" s="3">
        <v>1688046.269678303</v>
      </c>
      <c r="AE10" s="3">
        <v>1744769.359417781</v>
      </c>
    </row>
    <row r="11" spans="1:31" x14ac:dyDescent="0.25">
      <c r="A11" s="2">
        <v>45915</v>
      </c>
      <c r="B11" t="s">
        <v>35</v>
      </c>
      <c r="C11">
        <v>42</v>
      </c>
      <c r="D11" t="s">
        <v>32</v>
      </c>
      <c r="E11" t="s">
        <v>33</v>
      </c>
      <c r="F11" t="s">
        <v>36</v>
      </c>
      <c r="G11" t="s">
        <v>35</v>
      </c>
      <c r="H11">
        <v>43</v>
      </c>
      <c r="I11" t="s">
        <v>47</v>
      </c>
      <c r="J11" t="s">
        <v>33</v>
      </c>
      <c r="K11" t="s">
        <v>34</v>
      </c>
      <c r="L11" t="s">
        <v>37</v>
      </c>
      <c r="M11">
        <v>0.31</v>
      </c>
      <c r="N11">
        <v>89.6</v>
      </c>
      <c r="O11">
        <v>56</v>
      </c>
      <c r="P11">
        <v>22.5</v>
      </c>
      <c r="Q11" s="3">
        <v>11000000</v>
      </c>
      <c r="R11" s="3">
        <v>35000000</v>
      </c>
      <c r="S11">
        <v>-4574916</v>
      </c>
      <c r="T11">
        <v>261</v>
      </c>
      <c r="U11">
        <v>48</v>
      </c>
      <c r="W11">
        <v>-3988589</v>
      </c>
      <c r="X11" t="s">
        <v>70</v>
      </c>
      <c r="Y11" t="s">
        <v>71</v>
      </c>
      <c r="Z11" t="s">
        <v>72</v>
      </c>
      <c r="AC11" s="3">
        <v>61600</v>
      </c>
      <c r="AD11" s="3">
        <v>363858.72689938411</v>
      </c>
      <c r="AE11" s="3">
        <v>-258250.54835797471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B735-D8C7-4BDB-9AF9-12632592E19C}">
  <dimension ref="A1:AT135"/>
  <sheetViews>
    <sheetView tabSelected="1" topLeftCell="N1" zoomScale="70" zoomScaleNormal="70" workbookViewId="0">
      <selection activeCell="AU23" sqref="AU23"/>
    </sheetView>
  </sheetViews>
  <sheetFormatPr defaultRowHeight="15" x14ac:dyDescent="0.25"/>
  <cols>
    <col min="1" max="1" width="19.5703125" bestFit="1" customWidth="1"/>
    <col min="3" max="3" width="11.5703125" bestFit="1" customWidth="1"/>
    <col min="20" max="20" width="19.5703125" bestFit="1" customWidth="1"/>
    <col min="21" max="21" width="22.140625" bestFit="1" customWidth="1"/>
    <col min="24" max="24" width="14.85546875" bestFit="1" customWidth="1"/>
    <col min="27" max="27" width="13.42578125" bestFit="1" customWidth="1"/>
    <col min="28" max="28" width="9.140625" customWidth="1"/>
    <col min="29" max="29" width="0" hidden="1" customWidth="1"/>
    <col min="30" max="30" width="9.140625" hidden="1" customWidth="1"/>
    <col min="31" max="31" width="9.140625" customWidth="1"/>
    <col min="32" max="32" width="15.28515625" hidden="1" customWidth="1"/>
    <col min="33" max="33" width="14.42578125" hidden="1" customWidth="1"/>
    <col min="34" max="34" width="13.85546875" customWidth="1"/>
    <col min="35" max="36" width="0" hidden="1" customWidth="1"/>
    <col min="37" max="37" width="9.140625" hidden="1" customWidth="1"/>
    <col min="38" max="38" width="14.85546875" hidden="1" customWidth="1"/>
    <col min="39" max="39" width="23.5703125" bestFit="1" customWidth="1"/>
    <col min="40" max="40" width="24" bestFit="1" customWidth="1"/>
    <col min="41" max="41" width="36.85546875" bestFit="1" customWidth="1"/>
    <col min="42" max="42" width="0" hidden="1" customWidth="1"/>
    <col min="43" max="43" width="9.140625" hidden="1" customWidth="1"/>
    <col min="44" max="44" width="14" hidden="1" customWidth="1"/>
    <col min="45" max="46" width="15.85546875" hidden="1" customWidth="1"/>
  </cols>
  <sheetData>
    <row r="1" spans="1:46" ht="30" x14ac:dyDescent="0.25">
      <c r="A1" s="2">
        <v>45667</v>
      </c>
      <c r="B1">
        <v>1</v>
      </c>
      <c r="C1" t="s">
        <v>1443</v>
      </c>
      <c r="D1" t="s">
        <v>1444</v>
      </c>
      <c r="E1" t="s">
        <v>1445</v>
      </c>
      <c r="F1" t="s">
        <v>1446</v>
      </c>
      <c r="S1" s="31" t="s">
        <v>1461</v>
      </c>
      <c r="T1" s="31" t="s">
        <v>0</v>
      </c>
      <c r="U1" s="32" t="s">
        <v>5</v>
      </c>
      <c r="V1" s="31" t="s">
        <v>3</v>
      </c>
      <c r="W1" s="32" t="s">
        <v>1469</v>
      </c>
      <c r="X1" s="32" t="s">
        <v>10</v>
      </c>
      <c r="Y1" s="31" t="s">
        <v>8</v>
      </c>
      <c r="Z1" s="32" t="s">
        <v>1470</v>
      </c>
      <c r="AA1" s="31" t="s">
        <v>11</v>
      </c>
      <c r="AB1" s="31" t="s">
        <v>12</v>
      </c>
      <c r="AC1" s="31" t="s">
        <v>13</v>
      </c>
      <c r="AD1" s="31" t="s">
        <v>14</v>
      </c>
      <c r="AE1" s="31" t="s">
        <v>15</v>
      </c>
      <c r="AF1" s="31" t="s">
        <v>16</v>
      </c>
      <c r="AG1" s="31" t="s">
        <v>17</v>
      </c>
      <c r="AH1" s="31" t="s">
        <v>18</v>
      </c>
      <c r="AI1" s="31" t="s">
        <v>19</v>
      </c>
      <c r="AJ1" s="31" t="s">
        <v>20</v>
      </c>
      <c r="AK1" s="31" t="s">
        <v>21</v>
      </c>
      <c r="AL1" s="32" t="s">
        <v>1471</v>
      </c>
      <c r="AM1" s="31" t="s">
        <v>23</v>
      </c>
      <c r="AN1" s="31" t="s">
        <v>24</v>
      </c>
      <c r="AO1" s="31" t="s">
        <v>25</v>
      </c>
      <c r="AP1" s="32" t="s">
        <v>1447</v>
      </c>
      <c r="AQ1" s="31" t="s">
        <v>27</v>
      </c>
      <c r="AR1" s="32" t="s">
        <v>1448</v>
      </c>
      <c r="AS1" s="32" t="s">
        <v>1449</v>
      </c>
      <c r="AT1" s="32" t="s">
        <v>1450</v>
      </c>
    </row>
    <row r="2" spans="1:46" x14ac:dyDescent="0.25">
      <c r="A2" s="2">
        <v>45667</v>
      </c>
      <c r="B2">
        <v>1</v>
      </c>
      <c r="C2" s="4">
        <v>45748</v>
      </c>
      <c r="D2">
        <v>63.209000000000003</v>
      </c>
      <c r="E2" t="str">
        <f>IFERROR(VLOOKUP(C2,A:B,2, FALSE),"")</f>
        <v/>
      </c>
      <c r="F2" t="str">
        <f>IF(E2=1,D2,"")</f>
        <v/>
      </c>
      <c r="S2" s="27">
        <v>1</v>
      </c>
      <c r="T2" s="28">
        <v>45819</v>
      </c>
      <c r="U2" s="28" t="s">
        <v>1462</v>
      </c>
      <c r="V2" s="29" t="s">
        <v>32</v>
      </c>
      <c r="W2" s="29" t="s">
        <v>1463</v>
      </c>
      <c r="X2" s="28" t="s">
        <v>1464</v>
      </c>
      <c r="Y2" s="29" t="s">
        <v>32</v>
      </c>
      <c r="Z2" s="29" t="s">
        <v>1465</v>
      </c>
      <c r="AA2" s="29" t="s">
        <v>37</v>
      </c>
      <c r="AB2" s="29">
        <v>0.93</v>
      </c>
      <c r="AC2" s="29">
        <v>65.599999999999994</v>
      </c>
      <c r="AD2" s="29">
        <v>48</v>
      </c>
      <c r="AE2" s="29">
        <v>39.5</v>
      </c>
      <c r="AF2" s="30">
        <v>25000000</v>
      </c>
      <c r="AG2" s="30">
        <v>26900000</v>
      </c>
      <c r="AH2" s="30">
        <v>-782947</v>
      </c>
      <c r="AI2" s="29">
        <v>243</v>
      </c>
      <c r="AJ2" s="29">
        <v>323</v>
      </c>
      <c r="AK2" s="29"/>
      <c r="AL2" s="30">
        <v>799769</v>
      </c>
      <c r="AM2" s="29" t="s">
        <v>38</v>
      </c>
      <c r="AN2" s="29" t="s">
        <v>39</v>
      </c>
      <c r="AO2" s="29" t="s">
        <v>40</v>
      </c>
      <c r="AP2" s="29" t="s">
        <v>41</v>
      </c>
      <c r="AQ2" s="29"/>
      <c r="AR2" s="30">
        <v>120000</v>
      </c>
      <c r="AS2" s="30">
        <v>1487247.3921971261</v>
      </c>
      <c r="AT2" s="30">
        <v>1779841.1668375561</v>
      </c>
    </row>
    <row r="3" spans="1:46" x14ac:dyDescent="0.25">
      <c r="A3" s="2">
        <v>45667</v>
      </c>
      <c r="B3">
        <v>1</v>
      </c>
      <c r="C3" s="4">
        <v>45749</v>
      </c>
      <c r="D3">
        <v>63.631</v>
      </c>
      <c r="E3" t="str">
        <f t="shared" ref="E3:E66" si="0">IFERROR(VLOOKUP(C3,A:B,2, FALSE),"")</f>
        <v/>
      </c>
      <c r="F3" t="str">
        <f t="shared" ref="F3:F66" si="1">IF(E3=1,D3,"")</f>
        <v/>
      </c>
      <c r="S3" s="27">
        <v>2</v>
      </c>
      <c r="T3" s="28">
        <v>45819</v>
      </c>
      <c r="U3" s="28" t="s">
        <v>1466</v>
      </c>
      <c r="V3" s="29" t="s">
        <v>32</v>
      </c>
      <c r="W3" s="29" t="s">
        <v>1463</v>
      </c>
      <c r="X3" s="28" t="s">
        <v>1464</v>
      </c>
      <c r="Y3" s="29" t="s">
        <v>32</v>
      </c>
      <c r="Z3" s="29" t="s">
        <v>1465</v>
      </c>
      <c r="AA3" s="29" t="s">
        <v>37</v>
      </c>
      <c r="AB3" s="29">
        <v>5.18</v>
      </c>
      <c r="AC3" s="29">
        <v>18.600000000000001</v>
      </c>
      <c r="AD3" s="29">
        <v>10.1</v>
      </c>
      <c r="AE3" s="29">
        <v>38.299999999999997</v>
      </c>
      <c r="AF3" s="30">
        <v>140000000</v>
      </c>
      <c r="AG3" s="30">
        <v>27000000</v>
      </c>
      <c r="AH3" s="30">
        <v>-916550</v>
      </c>
      <c r="AI3" s="29">
        <v>41</v>
      </c>
      <c r="AJ3" s="29">
        <v>323</v>
      </c>
      <c r="AK3" s="29"/>
      <c r="AL3" s="30">
        <v>672050</v>
      </c>
      <c r="AM3" s="29" t="s">
        <v>43</v>
      </c>
      <c r="AN3" s="29" t="s">
        <v>44</v>
      </c>
      <c r="AO3" s="29" t="s">
        <v>45</v>
      </c>
      <c r="AP3" s="29" t="s">
        <v>46</v>
      </c>
      <c r="AQ3" s="29"/>
      <c r="AR3" s="30">
        <v>141400</v>
      </c>
      <c r="AS3" s="30">
        <v>1636690.7597535939</v>
      </c>
      <c r="AT3" s="30">
        <v>1816297.946784951</v>
      </c>
    </row>
    <row r="4" spans="1:46" x14ac:dyDescent="0.25">
      <c r="A4" s="2">
        <v>45726</v>
      </c>
      <c r="B4">
        <v>1</v>
      </c>
      <c r="C4" s="4">
        <v>45750</v>
      </c>
      <c r="D4">
        <v>68.501000000000005</v>
      </c>
      <c r="E4" t="str">
        <f t="shared" si="0"/>
        <v/>
      </c>
      <c r="F4" t="str">
        <f t="shared" si="1"/>
        <v/>
      </c>
      <c r="S4" s="27">
        <v>3</v>
      </c>
      <c r="T4" s="28">
        <v>45819</v>
      </c>
      <c r="U4" s="28" t="s">
        <v>1464</v>
      </c>
      <c r="V4" s="29" t="s">
        <v>32</v>
      </c>
      <c r="W4" s="29" t="s">
        <v>1465</v>
      </c>
      <c r="X4" s="28" t="s">
        <v>1464</v>
      </c>
      <c r="Y4" s="29" t="s">
        <v>47</v>
      </c>
      <c r="Z4" s="29" t="s">
        <v>1463</v>
      </c>
      <c r="AA4" s="29" t="s">
        <v>37</v>
      </c>
      <c r="AB4" s="29">
        <v>0.32</v>
      </c>
      <c r="AC4" s="29">
        <v>126.4</v>
      </c>
      <c r="AD4" s="29">
        <v>90.2</v>
      </c>
      <c r="AE4" s="29">
        <v>30.2</v>
      </c>
      <c r="AF4" s="30">
        <v>11400000</v>
      </c>
      <c r="AG4" s="30">
        <v>35000000</v>
      </c>
      <c r="AH4" s="30">
        <v>-4819379</v>
      </c>
      <c r="AI4" s="29">
        <v>323</v>
      </c>
      <c r="AJ4" s="29">
        <v>57</v>
      </c>
      <c r="AK4" s="29"/>
      <c r="AL4" s="30">
        <v>-4127075</v>
      </c>
      <c r="AM4" s="29" t="s">
        <v>48</v>
      </c>
      <c r="AN4" s="29" t="s">
        <v>49</v>
      </c>
      <c r="AO4" s="29" t="s">
        <v>50</v>
      </c>
      <c r="AP4" s="29"/>
      <c r="AQ4" s="29"/>
      <c r="AR4" s="30">
        <v>102828</v>
      </c>
      <c r="AS4" s="30">
        <v>763570.59548254614</v>
      </c>
      <c r="AT4" s="30">
        <v>64241.186148021246</v>
      </c>
    </row>
    <row r="5" spans="1:46" x14ac:dyDescent="0.25">
      <c r="A5" s="2">
        <v>45726</v>
      </c>
      <c r="B5">
        <v>1</v>
      </c>
      <c r="C5" s="4">
        <v>45751</v>
      </c>
      <c r="D5">
        <v>77.266999999999996</v>
      </c>
      <c r="E5" t="str">
        <f t="shared" si="0"/>
        <v/>
      </c>
      <c r="F5" t="str">
        <f t="shared" si="1"/>
        <v/>
      </c>
      <c r="S5" s="27">
        <v>4</v>
      </c>
      <c r="T5" s="28">
        <v>45867</v>
      </c>
      <c r="U5" s="28" t="s">
        <v>1464</v>
      </c>
      <c r="V5" s="29" t="s">
        <v>32</v>
      </c>
      <c r="W5" s="29" t="s">
        <v>1465</v>
      </c>
      <c r="X5" s="28" t="s">
        <v>1464</v>
      </c>
      <c r="Y5" s="29" t="s">
        <v>47</v>
      </c>
      <c r="Z5" s="29" t="s">
        <v>1463</v>
      </c>
      <c r="AA5" s="29" t="s">
        <v>37</v>
      </c>
      <c r="AB5" s="29">
        <v>0.33</v>
      </c>
      <c r="AC5" s="29">
        <v>124.5</v>
      </c>
      <c r="AD5" s="29">
        <v>55.7</v>
      </c>
      <c r="AE5" s="29">
        <v>39.9</v>
      </c>
      <c r="AF5" s="30">
        <v>11500000</v>
      </c>
      <c r="AG5" s="30">
        <v>35000000</v>
      </c>
      <c r="AH5" s="30">
        <v>-4551770</v>
      </c>
      <c r="AI5" s="29">
        <v>305</v>
      </c>
      <c r="AJ5" s="29">
        <v>54</v>
      </c>
      <c r="AK5" s="29"/>
      <c r="AL5" s="30">
        <v>-3803514</v>
      </c>
      <c r="AM5" s="29" t="s">
        <v>51</v>
      </c>
      <c r="AN5" s="29" t="s">
        <v>52</v>
      </c>
      <c r="AO5" s="29" t="s">
        <v>53</v>
      </c>
      <c r="AP5" s="29"/>
      <c r="AQ5" s="29"/>
      <c r="AR5" s="30">
        <v>64055</v>
      </c>
      <c r="AS5" s="30">
        <v>710770.02053388092</v>
      </c>
      <c r="AT5" s="30">
        <v>14227.98815767525</v>
      </c>
    </row>
    <row r="6" spans="1:46" x14ac:dyDescent="0.25">
      <c r="A6" s="2">
        <v>45726</v>
      </c>
      <c r="B6">
        <v>1</v>
      </c>
      <c r="C6" s="4">
        <v>45754</v>
      </c>
      <c r="D6">
        <v>79.796999999999997</v>
      </c>
      <c r="E6" t="str">
        <f t="shared" si="0"/>
        <v/>
      </c>
      <c r="F6" t="str">
        <f t="shared" si="1"/>
        <v/>
      </c>
      <c r="S6" s="27">
        <v>5</v>
      </c>
      <c r="T6" s="28">
        <v>45867</v>
      </c>
      <c r="U6" s="28" t="s">
        <v>1462</v>
      </c>
      <c r="V6" s="29" t="s">
        <v>32</v>
      </c>
      <c r="W6" s="29" t="s">
        <v>1463</v>
      </c>
      <c r="X6" s="28" t="s">
        <v>1464</v>
      </c>
      <c r="Y6" s="29" t="s">
        <v>32</v>
      </c>
      <c r="Z6" s="29" t="s">
        <v>1465</v>
      </c>
      <c r="AA6" s="29" t="s">
        <v>37</v>
      </c>
      <c r="AB6" s="29">
        <v>0.92</v>
      </c>
      <c r="AC6" s="29">
        <v>71.5</v>
      </c>
      <c r="AD6" s="29">
        <v>49.7</v>
      </c>
      <c r="AE6" s="29">
        <v>26.3</v>
      </c>
      <c r="AF6" s="30">
        <v>25000000</v>
      </c>
      <c r="AG6" s="30">
        <v>27200000</v>
      </c>
      <c r="AH6" s="30">
        <v>-723323</v>
      </c>
      <c r="AI6" s="29">
        <v>224</v>
      </c>
      <c r="AJ6" s="29">
        <v>305</v>
      </c>
      <c r="AK6" s="29"/>
      <c r="AL6" s="30">
        <v>1046465</v>
      </c>
      <c r="AM6" s="29" t="s">
        <v>54</v>
      </c>
      <c r="AN6" s="29" t="s">
        <v>55</v>
      </c>
      <c r="AO6" s="29" t="s">
        <v>56</v>
      </c>
      <c r="AP6" s="29"/>
      <c r="AQ6" s="29"/>
      <c r="AR6" s="30">
        <v>124250</v>
      </c>
      <c r="AS6" s="30">
        <v>1465264.8870636551</v>
      </c>
      <c r="AT6" s="30">
        <v>1732139.505015739</v>
      </c>
    </row>
    <row r="7" spans="1:46" x14ac:dyDescent="0.25">
      <c r="A7" s="2">
        <v>45737</v>
      </c>
      <c r="B7">
        <v>1</v>
      </c>
      <c r="C7" s="4">
        <v>45755</v>
      </c>
      <c r="D7">
        <v>77.337000000000003</v>
      </c>
      <c r="E7">
        <f t="shared" si="0"/>
        <v>1</v>
      </c>
      <c r="F7">
        <f t="shared" si="1"/>
        <v>77.337000000000003</v>
      </c>
      <c r="S7" s="27">
        <v>6</v>
      </c>
      <c r="T7" s="28">
        <v>45867</v>
      </c>
      <c r="U7" s="28" t="s">
        <v>1467</v>
      </c>
      <c r="V7" s="29" t="s">
        <v>32</v>
      </c>
      <c r="W7" s="29" t="s">
        <v>1465</v>
      </c>
      <c r="X7" s="28" t="s">
        <v>1464</v>
      </c>
      <c r="Y7" s="29" t="s">
        <v>47</v>
      </c>
      <c r="Z7" s="29" t="s">
        <v>1463</v>
      </c>
      <c r="AA7" s="29" t="s">
        <v>37</v>
      </c>
      <c r="AB7" s="29">
        <v>0.31</v>
      </c>
      <c r="AC7" s="29">
        <v>89</v>
      </c>
      <c r="AD7" s="29">
        <v>59.2</v>
      </c>
      <c r="AE7" s="29">
        <v>21.8</v>
      </c>
      <c r="AF7" s="30">
        <v>10900000</v>
      </c>
      <c r="AG7" s="30">
        <v>35000000</v>
      </c>
      <c r="AH7" s="30">
        <v>-4568264</v>
      </c>
      <c r="AI7" s="29">
        <v>275</v>
      </c>
      <c r="AJ7" s="29">
        <v>54</v>
      </c>
      <c r="AK7" s="29"/>
      <c r="AL7" s="30">
        <v>-4038410</v>
      </c>
      <c r="AM7" s="29" t="s">
        <v>57</v>
      </c>
      <c r="AN7" s="29" t="s">
        <v>58</v>
      </c>
      <c r="AO7" s="29" t="s">
        <v>59</v>
      </c>
      <c r="AP7" s="29"/>
      <c r="AQ7" s="29"/>
      <c r="AR7" s="30">
        <v>64528</v>
      </c>
      <c r="AS7" s="30">
        <v>336480.49281314178</v>
      </c>
      <c r="AT7" s="30">
        <v>-289511.28575866122</v>
      </c>
    </row>
    <row r="8" spans="1:46" x14ac:dyDescent="0.25">
      <c r="A8" s="2">
        <v>45737</v>
      </c>
      <c r="B8">
        <v>1</v>
      </c>
      <c r="C8" s="4">
        <v>45756</v>
      </c>
      <c r="D8">
        <v>85.346000000000004</v>
      </c>
      <c r="E8" t="str">
        <f t="shared" si="0"/>
        <v/>
      </c>
      <c r="F8" t="str">
        <f t="shared" si="1"/>
        <v/>
      </c>
      <c r="S8" s="27">
        <v>7</v>
      </c>
      <c r="T8" s="28">
        <v>45887</v>
      </c>
      <c r="U8" s="28" t="s">
        <v>1464</v>
      </c>
      <c r="V8" s="29" t="s">
        <v>32</v>
      </c>
      <c r="W8" s="29" t="s">
        <v>1465</v>
      </c>
      <c r="X8" s="28" t="s">
        <v>1464</v>
      </c>
      <c r="Y8" s="29" t="s">
        <v>47</v>
      </c>
      <c r="Z8" s="29" t="s">
        <v>1463</v>
      </c>
      <c r="AA8" s="29" t="s">
        <v>37</v>
      </c>
      <c r="AB8" s="29">
        <v>0.33</v>
      </c>
      <c r="AC8" s="29">
        <v>126</v>
      </c>
      <c r="AD8" s="29">
        <v>56.4</v>
      </c>
      <c r="AE8" s="29">
        <v>42.7</v>
      </c>
      <c r="AF8" s="30">
        <v>11600000</v>
      </c>
      <c r="AG8" s="30">
        <v>35000000</v>
      </c>
      <c r="AH8" s="30">
        <v>-4559703</v>
      </c>
      <c r="AI8" s="29">
        <v>306</v>
      </c>
      <c r="AJ8" s="29">
        <v>52</v>
      </c>
      <c r="AK8" s="29"/>
      <c r="AL8" s="30">
        <v>-3788648</v>
      </c>
      <c r="AM8" s="29" t="s">
        <v>60</v>
      </c>
      <c r="AN8" s="29" t="s">
        <v>61</v>
      </c>
      <c r="AO8" s="29" t="s">
        <v>62</v>
      </c>
      <c r="AP8" s="29"/>
      <c r="AQ8" s="29"/>
      <c r="AR8" s="30">
        <v>65424</v>
      </c>
      <c r="AS8" s="30">
        <v>750558.79534565366</v>
      </c>
      <c r="AT8" s="30">
        <v>51773.63352890755</v>
      </c>
    </row>
    <row r="9" spans="1:46" x14ac:dyDescent="0.25">
      <c r="A9" s="2">
        <v>45737</v>
      </c>
      <c r="B9">
        <v>1</v>
      </c>
      <c r="C9" s="4">
        <v>45757</v>
      </c>
      <c r="D9">
        <v>77.715000000000003</v>
      </c>
      <c r="E9" t="str">
        <f t="shared" si="0"/>
        <v/>
      </c>
      <c r="F9" t="str">
        <f t="shared" si="1"/>
        <v/>
      </c>
      <c r="S9" s="27">
        <v>8</v>
      </c>
      <c r="T9" s="28">
        <v>45887</v>
      </c>
      <c r="U9" s="28" t="s">
        <v>1462</v>
      </c>
      <c r="V9" s="29" t="s">
        <v>32</v>
      </c>
      <c r="W9" s="29" t="s">
        <v>1463</v>
      </c>
      <c r="X9" s="28" t="s">
        <v>1464</v>
      </c>
      <c r="Y9" s="29" t="s">
        <v>32</v>
      </c>
      <c r="Z9" s="29" t="s">
        <v>1465</v>
      </c>
      <c r="AA9" s="29" t="s">
        <v>37</v>
      </c>
      <c r="AB9" s="29">
        <v>0.91</v>
      </c>
      <c r="AC9" s="29">
        <v>75.400000000000006</v>
      </c>
      <c r="AD9" s="29">
        <v>60.2</v>
      </c>
      <c r="AE9" s="29">
        <v>35.200000000000003</v>
      </c>
      <c r="AF9" s="30">
        <v>25000000</v>
      </c>
      <c r="AG9" s="30">
        <v>27500000</v>
      </c>
      <c r="AH9" s="30">
        <v>-745228</v>
      </c>
      <c r="AI9" s="29">
        <v>220</v>
      </c>
      <c r="AJ9" s="29">
        <v>306</v>
      </c>
      <c r="AK9" s="29"/>
      <c r="AL9" s="30">
        <v>1082703</v>
      </c>
      <c r="AM9" s="29" t="s">
        <v>63</v>
      </c>
      <c r="AN9" s="29" t="s">
        <v>64</v>
      </c>
      <c r="AO9" s="29" t="s">
        <v>65</v>
      </c>
      <c r="AP9" s="29"/>
      <c r="AQ9" s="29"/>
      <c r="AR9" s="30">
        <v>150500</v>
      </c>
      <c r="AS9" s="30">
        <v>1540527.036276523</v>
      </c>
      <c r="AT9" s="30">
        <v>1786212.0960073411</v>
      </c>
    </row>
    <row r="10" spans="1:46" x14ac:dyDescent="0.25">
      <c r="A10" s="2">
        <v>45755</v>
      </c>
      <c r="B10">
        <v>1</v>
      </c>
      <c r="C10" s="4">
        <v>45758</v>
      </c>
      <c r="D10">
        <v>76.881</v>
      </c>
      <c r="E10" t="str">
        <f t="shared" si="0"/>
        <v/>
      </c>
      <c r="F10" t="str">
        <f t="shared" si="1"/>
        <v/>
      </c>
      <c r="S10" s="27">
        <v>9</v>
      </c>
      <c r="T10" s="28">
        <v>45887</v>
      </c>
      <c r="U10" s="28" t="s">
        <v>1468</v>
      </c>
      <c r="V10" s="29" t="s">
        <v>32</v>
      </c>
      <c r="W10" s="29" t="s">
        <v>1463</v>
      </c>
      <c r="X10" s="28" t="s">
        <v>1464</v>
      </c>
      <c r="Y10" s="29" t="s">
        <v>32</v>
      </c>
      <c r="Z10" s="29" t="s">
        <v>1465</v>
      </c>
      <c r="AA10" s="29" t="s">
        <v>37</v>
      </c>
      <c r="AB10" s="29">
        <v>4.8499999999999996</v>
      </c>
      <c r="AC10" s="29">
        <v>14.5</v>
      </c>
      <c r="AD10" s="29">
        <v>15.7</v>
      </c>
      <c r="AE10" s="29">
        <v>28.3</v>
      </c>
      <c r="AF10" s="30">
        <v>140000000</v>
      </c>
      <c r="AG10" s="30">
        <v>28900000</v>
      </c>
      <c r="AH10" s="30">
        <v>-1119847</v>
      </c>
      <c r="AI10" s="29">
        <v>40</v>
      </c>
      <c r="AJ10" s="29">
        <v>306</v>
      </c>
      <c r="AK10" s="29"/>
      <c r="AL10" s="30">
        <v>801142</v>
      </c>
      <c r="AM10" s="29" t="s">
        <v>67</v>
      </c>
      <c r="AN10" s="29" t="s">
        <v>68</v>
      </c>
      <c r="AO10" s="29" t="s">
        <v>69</v>
      </c>
      <c r="AP10" s="29"/>
      <c r="AQ10" s="29"/>
      <c r="AR10" s="30">
        <v>219800</v>
      </c>
      <c r="AS10" s="30">
        <v>1688046.269678303</v>
      </c>
      <c r="AT10" s="30">
        <v>1744769.359417781</v>
      </c>
    </row>
    <row r="11" spans="1:46" x14ac:dyDescent="0.25">
      <c r="A11" s="2">
        <v>45755</v>
      </c>
      <c r="B11">
        <v>1</v>
      </c>
      <c r="C11" s="4">
        <v>45761</v>
      </c>
      <c r="D11">
        <v>73.503</v>
      </c>
      <c r="E11">
        <f t="shared" si="0"/>
        <v>1</v>
      </c>
      <c r="F11">
        <f t="shared" si="1"/>
        <v>73.503</v>
      </c>
      <c r="S11" s="27">
        <v>10</v>
      </c>
      <c r="T11" s="28">
        <v>45915</v>
      </c>
      <c r="U11" s="28" t="s">
        <v>1467</v>
      </c>
      <c r="V11" s="29" t="s">
        <v>32</v>
      </c>
      <c r="W11" s="29" t="s">
        <v>1465</v>
      </c>
      <c r="X11" s="28" t="s">
        <v>1464</v>
      </c>
      <c r="Y11" s="29" t="s">
        <v>47</v>
      </c>
      <c r="Z11" s="29" t="s">
        <v>1463</v>
      </c>
      <c r="AA11" s="29" t="s">
        <v>37</v>
      </c>
      <c r="AB11" s="29">
        <v>0.31</v>
      </c>
      <c r="AC11" s="29">
        <v>89.6</v>
      </c>
      <c r="AD11" s="29">
        <v>56</v>
      </c>
      <c r="AE11" s="29">
        <v>22.5</v>
      </c>
      <c r="AF11" s="30">
        <v>11000000</v>
      </c>
      <c r="AG11" s="30">
        <v>35000000</v>
      </c>
      <c r="AH11" s="30">
        <v>-4574916</v>
      </c>
      <c r="AI11" s="29">
        <v>261</v>
      </c>
      <c r="AJ11" s="29">
        <v>48</v>
      </c>
      <c r="AK11" s="29"/>
      <c r="AL11" s="30">
        <v>-3988589</v>
      </c>
      <c r="AM11" s="29" t="s">
        <v>70</v>
      </c>
      <c r="AN11" s="29" t="s">
        <v>71</v>
      </c>
      <c r="AO11" s="29" t="s">
        <v>72</v>
      </c>
      <c r="AP11" s="29"/>
      <c r="AQ11" s="29"/>
      <c r="AR11" s="30">
        <v>61600</v>
      </c>
      <c r="AS11" s="30">
        <v>363858.72689938411</v>
      </c>
      <c r="AT11" s="30">
        <v>-258250.54835797471</v>
      </c>
    </row>
    <row r="12" spans="1:46" x14ac:dyDescent="0.25">
      <c r="A12" s="2">
        <v>45755</v>
      </c>
      <c r="B12">
        <v>1</v>
      </c>
      <c r="C12" s="4">
        <v>45762</v>
      </c>
      <c r="D12">
        <v>71.760999999999996</v>
      </c>
      <c r="E12" t="str">
        <f t="shared" si="0"/>
        <v/>
      </c>
      <c r="F12" t="str">
        <f t="shared" si="1"/>
        <v/>
      </c>
    </row>
    <row r="13" spans="1:46" x14ac:dyDescent="0.25">
      <c r="A13" s="2">
        <v>45761</v>
      </c>
      <c r="B13">
        <v>1</v>
      </c>
      <c r="C13" s="4">
        <v>45763</v>
      </c>
      <c r="D13">
        <v>71.765000000000001</v>
      </c>
      <c r="E13" t="str">
        <f t="shared" si="0"/>
        <v/>
      </c>
      <c r="F13" t="str">
        <f t="shared" si="1"/>
        <v/>
      </c>
    </row>
    <row r="14" spans="1:46" x14ac:dyDescent="0.25">
      <c r="A14" s="2">
        <v>45761</v>
      </c>
      <c r="B14">
        <v>1</v>
      </c>
      <c r="C14" s="4">
        <v>45764</v>
      </c>
      <c r="D14">
        <v>71.841999999999999</v>
      </c>
      <c r="E14" t="str">
        <f t="shared" si="0"/>
        <v/>
      </c>
      <c r="F14" t="str">
        <f t="shared" si="1"/>
        <v/>
      </c>
    </row>
    <row r="15" spans="1:46" x14ac:dyDescent="0.25">
      <c r="A15" s="2">
        <v>45761</v>
      </c>
      <c r="B15">
        <v>1</v>
      </c>
      <c r="C15" s="4">
        <v>45769</v>
      </c>
      <c r="D15">
        <v>71.143000000000001</v>
      </c>
      <c r="E15" t="str">
        <f t="shared" si="0"/>
        <v/>
      </c>
      <c r="F15" t="str">
        <f t="shared" si="1"/>
        <v/>
      </c>
    </row>
    <row r="16" spans="1:46" x14ac:dyDescent="0.25">
      <c r="A16" s="2">
        <v>45799</v>
      </c>
      <c r="B16">
        <v>1</v>
      </c>
      <c r="C16" s="4">
        <v>45770</v>
      </c>
      <c r="D16">
        <v>68.599999999999994</v>
      </c>
      <c r="E16" t="str">
        <f t="shared" si="0"/>
        <v/>
      </c>
      <c r="F16" t="str">
        <f t="shared" si="1"/>
        <v/>
      </c>
    </row>
    <row r="17" spans="1:6" x14ac:dyDescent="0.25">
      <c r="A17" s="2">
        <v>45799</v>
      </c>
      <c r="B17">
        <v>1</v>
      </c>
      <c r="C17" s="4">
        <v>45771</v>
      </c>
      <c r="D17">
        <v>67.007000000000005</v>
      </c>
      <c r="E17" t="str">
        <f t="shared" si="0"/>
        <v/>
      </c>
      <c r="F17" t="str">
        <f t="shared" si="1"/>
        <v/>
      </c>
    </row>
    <row r="18" spans="1:6" x14ac:dyDescent="0.25">
      <c r="A18" s="2">
        <v>45799</v>
      </c>
      <c r="B18">
        <v>1</v>
      </c>
      <c r="C18" s="4">
        <v>45772</v>
      </c>
      <c r="D18">
        <v>65.930999999999997</v>
      </c>
      <c r="E18" t="str">
        <f t="shared" si="0"/>
        <v/>
      </c>
      <c r="F18" t="str">
        <f t="shared" si="1"/>
        <v/>
      </c>
    </row>
    <row r="19" spans="1:6" x14ac:dyDescent="0.25">
      <c r="A19" s="2">
        <v>45827</v>
      </c>
      <c r="B19">
        <v>1</v>
      </c>
      <c r="C19" s="4">
        <v>45775</v>
      </c>
      <c r="D19">
        <v>66.117000000000004</v>
      </c>
      <c r="E19" t="str">
        <f t="shared" si="0"/>
        <v/>
      </c>
      <c r="F19" t="str">
        <f t="shared" si="1"/>
        <v/>
      </c>
    </row>
    <row r="20" spans="1:6" x14ac:dyDescent="0.25">
      <c r="A20" s="2">
        <v>45827</v>
      </c>
      <c r="B20">
        <v>1</v>
      </c>
      <c r="C20" s="4">
        <v>45776</v>
      </c>
      <c r="D20">
        <v>66.606999999999999</v>
      </c>
      <c r="E20" t="str">
        <f t="shared" si="0"/>
        <v/>
      </c>
      <c r="F20" t="str">
        <f t="shared" si="1"/>
        <v/>
      </c>
    </row>
    <row r="21" spans="1:6" x14ac:dyDescent="0.25">
      <c r="A21" s="2">
        <v>45827</v>
      </c>
      <c r="B21">
        <v>1</v>
      </c>
      <c r="C21" s="4">
        <v>45777</v>
      </c>
      <c r="D21">
        <v>68.236999999999995</v>
      </c>
      <c r="E21" t="str">
        <f t="shared" si="0"/>
        <v/>
      </c>
      <c r="F21" t="str">
        <f t="shared" si="1"/>
        <v/>
      </c>
    </row>
    <row r="22" spans="1:6" x14ac:dyDescent="0.25">
      <c r="A22" s="2">
        <v>45870</v>
      </c>
      <c r="B22">
        <v>1</v>
      </c>
      <c r="C22" s="4">
        <v>45778</v>
      </c>
      <c r="D22">
        <v>66.713999999999999</v>
      </c>
      <c r="E22" t="str">
        <f t="shared" si="0"/>
        <v/>
      </c>
      <c r="F22" t="str">
        <f t="shared" si="1"/>
        <v/>
      </c>
    </row>
    <row r="23" spans="1:6" x14ac:dyDescent="0.25">
      <c r="A23" s="2">
        <v>45870</v>
      </c>
      <c r="B23">
        <v>1</v>
      </c>
      <c r="C23" s="4">
        <v>45779</v>
      </c>
      <c r="D23">
        <v>64.915000000000006</v>
      </c>
      <c r="E23" t="str">
        <f t="shared" si="0"/>
        <v/>
      </c>
      <c r="F23" t="str">
        <f t="shared" si="1"/>
        <v/>
      </c>
    </row>
    <row r="24" spans="1:6" x14ac:dyDescent="0.25">
      <c r="A24" s="2">
        <v>45870</v>
      </c>
      <c r="B24">
        <v>1</v>
      </c>
      <c r="C24" s="4">
        <v>45783</v>
      </c>
      <c r="D24">
        <v>64.156000000000006</v>
      </c>
      <c r="E24" t="str">
        <f t="shared" si="0"/>
        <v/>
      </c>
      <c r="F24" t="str">
        <f t="shared" si="1"/>
        <v/>
      </c>
    </row>
    <row r="25" spans="1:6" x14ac:dyDescent="0.25">
      <c r="A25" s="2">
        <v>45901</v>
      </c>
      <c r="B25">
        <v>1</v>
      </c>
      <c r="C25" s="4">
        <v>45784</v>
      </c>
      <c r="D25">
        <v>63.927999999999997</v>
      </c>
      <c r="E25" t="str">
        <f t="shared" si="0"/>
        <v/>
      </c>
      <c r="F25" t="str">
        <f t="shared" si="1"/>
        <v/>
      </c>
    </row>
    <row r="26" spans="1:6" x14ac:dyDescent="0.25">
      <c r="A26" s="2">
        <v>45901</v>
      </c>
      <c r="B26">
        <v>1</v>
      </c>
      <c r="C26" s="4">
        <v>45785</v>
      </c>
      <c r="D26">
        <v>61.637</v>
      </c>
      <c r="E26" t="str">
        <f t="shared" si="0"/>
        <v/>
      </c>
      <c r="F26" t="str">
        <f t="shared" si="1"/>
        <v/>
      </c>
    </row>
    <row r="27" spans="1:6" x14ac:dyDescent="0.25">
      <c r="A27" s="2">
        <v>45901</v>
      </c>
      <c r="B27">
        <v>1</v>
      </c>
      <c r="C27" s="4">
        <v>45786</v>
      </c>
      <c r="D27">
        <v>61.392000000000003</v>
      </c>
      <c r="E27" t="str">
        <f t="shared" si="0"/>
        <v/>
      </c>
      <c r="F27" t="str">
        <f t="shared" si="1"/>
        <v/>
      </c>
    </row>
    <row r="28" spans="1:6" x14ac:dyDescent="0.25">
      <c r="A28" s="2">
        <v>45925</v>
      </c>
      <c r="B28">
        <v>1</v>
      </c>
      <c r="C28" s="4">
        <v>45789</v>
      </c>
      <c r="D28">
        <v>58.100999999999999</v>
      </c>
      <c r="E28" t="str">
        <f t="shared" si="0"/>
        <v/>
      </c>
      <c r="F28" t="str">
        <f t="shared" si="1"/>
        <v/>
      </c>
    </row>
    <row r="29" spans="1:6" x14ac:dyDescent="0.25">
      <c r="A29" s="2">
        <v>45940</v>
      </c>
      <c r="B29">
        <v>1</v>
      </c>
      <c r="C29" s="4">
        <v>45790</v>
      </c>
      <c r="D29">
        <v>55.704999999999998</v>
      </c>
      <c r="E29" t="str">
        <f t="shared" si="0"/>
        <v/>
      </c>
      <c r="F29" t="str">
        <f t="shared" si="1"/>
        <v/>
      </c>
    </row>
    <row r="30" spans="1:6" x14ac:dyDescent="0.25">
      <c r="A30" s="2">
        <v>45940</v>
      </c>
      <c r="B30">
        <v>1</v>
      </c>
      <c r="C30" s="4">
        <v>45791</v>
      </c>
      <c r="D30">
        <v>56.732999999999997</v>
      </c>
      <c r="E30" t="str">
        <f t="shared" si="0"/>
        <v/>
      </c>
      <c r="F30" t="str">
        <f t="shared" si="1"/>
        <v/>
      </c>
    </row>
    <row r="31" spans="1:6" x14ac:dyDescent="0.25">
      <c r="A31" s="2">
        <v>45940</v>
      </c>
      <c r="B31">
        <v>1</v>
      </c>
      <c r="C31" s="4">
        <v>45792</v>
      </c>
      <c r="D31">
        <v>56.901000000000003</v>
      </c>
      <c r="E31" t="str">
        <f t="shared" si="0"/>
        <v/>
      </c>
      <c r="F31" t="str">
        <f t="shared" si="1"/>
        <v/>
      </c>
    </row>
    <row r="32" spans="1:6" x14ac:dyDescent="0.25">
      <c r="C32" s="4">
        <v>45793</v>
      </c>
      <c r="D32">
        <v>57.341999999999999</v>
      </c>
      <c r="E32" t="str">
        <f t="shared" si="0"/>
        <v/>
      </c>
      <c r="F32" t="str">
        <f t="shared" si="1"/>
        <v/>
      </c>
    </row>
    <row r="33" spans="3:6" x14ac:dyDescent="0.25">
      <c r="C33" s="4">
        <v>45796</v>
      </c>
      <c r="D33">
        <v>57.064999999999998</v>
      </c>
      <c r="E33" t="str">
        <f t="shared" si="0"/>
        <v/>
      </c>
      <c r="F33" t="str">
        <f t="shared" si="1"/>
        <v/>
      </c>
    </row>
    <row r="34" spans="3:6" x14ac:dyDescent="0.25">
      <c r="C34" s="4">
        <v>45797</v>
      </c>
      <c r="D34">
        <v>56.456000000000003</v>
      </c>
      <c r="E34" t="str">
        <f t="shared" si="0"/>
        <v/>
      </c>
      <c r="F34" t="str">
        <f t="shared" si="1"/>
        <v/>
      </c>
    </row>
    <row r="35" spans="3:6" x14ac:dyDescent="0.25">
      <c r="C35" s="4">
        <v>45798</v>
      </c>
      <c r="D35">
        <v>56.975999999999999</v>
      </c>
      <c r="E35" t="str">
        <f t="shared" si="0"/>
        <v/>
      </c>
      <c r="F35" t="str">
        <f t="shared" si="1"/>
        <v/>
      </c>
    </row>
    <row r="36" spans="3:6" x14ac:dyDescent="0.25">
      <c r="C36" s="4">
        <v>45799</v>
      </c>
      <c r="D36">
        <v>58.192</v>
      </c>
      <c r="E36">
        <f t="shared" si="0"/>
        <v>1</v>
      </c>
      <c r="F36">
        <f t="shared" si="1"/>
        <v>58.192</v>
      </c>
    </row>
    <row r="37" spans="3:6" x14ac:dyDescent="0.25">
      <c r="C37" s="4">
        <v>45800</v>
      </c>
      <c r="D37">
        <v>61.015000000000001</v>
      </c>
      <c r="E37" t="str">
        <f t="shared" si="0"/>
        <v/>
      </c>
      <c r="F37" t="str">
        <f t="shared" si="1"/>
        <v/>
      </c>
    </row>
    <row r="38" spans="3:6" x14ac:dyDescent="0.25">
      <c r="C38" s="4">
        <v>45804</v>
      </c>
      <c r="D38">
        <v>57.72</v>
      </c>
      <c r="E38" t="str">
        <f t="shared" si="0"/>
        <v/>
      </c>
      <c r="F38" t="str">
        <f t="shared" si="1"/>
        <v/>
      </c>
    </row>
    <row r="39" spans="3:6" x14ac:dyDescent="0.25">
      <c r="C39" s="4">
        <v>45805</v>
      </c>
      <c r="D39">
        <v>57.828000000000003</v>
      </c>
      <c r="E39" t="str">
        <f t="shared" si="0"/>
        <v/>
      </c>
      <c r="F39" t="str">
        <f t="shared" si="1"/>
        <v/>
      </c>
    </row>
    <row r="40" spans="3:6" x14ac:dyDescent="0.25">
      <c r="C40" s="4">
        <v>45806</v>
      </c>
      <c r="D40">
        <v>57.710999999999999</v>
      </c>
      <c r="E40" t="str">
        <f t="shared" si="0"/>
        <v/>
      </c>
      <c r="F40" t="str">
        <f t="shared" si="1"/>
        <v/>
      </c>
    </row>
    <row r="41" spans="3:6" x14ac:dyDescent="0.25">
      <c r="C41" s="4">
        <v>45807</v>
      </c>
      <c r="D41">
        <v>57.783999999999999</v>
      </c>
      <c r="E41" t="str">
        <f t="shared" si="0"/>
        <v/>
      </c>
      <c r="F41" t="str">
        <f t="shared" si="1"/>
        <v/>
      </c>
    </row>
    <row r="42" spans="3:6" x14ac:dyDescent="0.25">
      <c r="C42" s="4">
        <v>45810</v>
      </c>
      <c r="D42">
        <v>57.773000000000003</v>
      </c>
      <c r="E42" t="str">
        <f t="shared" si="0"/>
        <v/>
      </c>
      <c r="F42" t="str">
        <f t="shared" si="1"/>
        <v/>
      </c>
    </row>
    <row r="43" spans="3:6" x14ac:dyDescent="0.25">
      <c r="C43" s="4">
        <v>45811</v>
      </c>
      <c r="D43">
        <v>56.801000000000002</v>
      </c>
      <c r="E43" t="str">
        <f t="shared" si="0"/>
        <v/>
      </c>
      <c r="F43" t="str">
        <f t="shared" si="1"/>
        <v/>
      </c>
    </row>
    <row r="44" spans="3:6" x14ac:dyDescent="0.25">
      <c r="C44" s="4">
        <v>45812</v>
      </c>
      <c r="D44">
        <v>56.615000000000002</v>
      </c>
      <c r="E44" t="str">
        <f t="shared" si="0"/>
        <v/>
      </c>
      <c r="F44" t="str">
        <f t="shared" si="1"/>
        <v/>
      </c>
    </row>
    <row r="45" spans="3:6" x14ac:dyDescent="0.25">
      <c r="C45" s="4">
        <v>45813</v>
      </c>
      <c r="D45">
        <v>56.225999999999999</v>
      </c>
      <c r="E45" t="str">
        <f t="shared" si="0"/>
        <v/>
      </c>
      <c r="F45" t="str">
        <f t="shared" si="1"/>
        <v/>
      </c>
    </row>
    <row r="46" spans="3:6" x14ac:dyDescent="0.25">
      <c r="C46" s="4">
        <v>45814</v>
      </c>
      <c r="D46">
        <v>55.598999999999997</v>
      </c>
      <c r="E46" t="str">
        <f t="shared" si="0"/>
        <v/>
      </c>
      <c r="F46" t="str">
        <f t="shared" si="1"/>
        <v/>
      </c>
    </row>
    <row r="47" spans="3:6" x14ac:dyDescent="0.25">
      <c r="C47" s="4">
        <v>45817</v>
      </c>
      <c r="D47">
        <v>55.6</v>
      </c>
      <c r="E47" t="str">
        <f t="shared" si="0"/>
        <v/>
      </c>
      <c r="F47" t="str">
        <f t="shared" si="1"/>
        <v/>
      </c>
    </row>
    <row r="48" spans="3:6" x14ac:dyDescent="0.25">
      <c r="C48" s="4">
        <v>45818</v>
      </c>
      <c r="D48">
        <v>55.305</v>
      </c>
      <c r="E48" t="str">
        <f t="shared" si="0"/>
        <v/>
      </c>
      <c r="F48" t="str">
        <f t="shared" si="1"/>
        <v/>
      </c>
    </row>
    <row r="49" spans="3:6" x14ac:dyDescent="0.25">
      <c r="C49" s="4">
        <v>45819</v>
      </c>
      <c r="D49">
        <v>54.691000000000003</v>
      </c>
      <c r="E49" t="str">
        <f t="shared" si="0"/>
        <v/>
      </c>
      <c r="F49" t="str">
        <f t="shared" si="1"/>
        <v/>
      </c>
    </row>
    <row r="50" spans="3:6" x14ac:dyDescent="0.25">
      <c r="C50" s="4">
        <v>45820</v>
      </c>
      <c r="D50">
        <v>56.261000000000003</v>
      </c>
      <c r="E50" t="str">
        <f t="shared" si="0"/>
        <v/>
      </c>
      <c r="F50" t="str">
        <f t="shared" si="1"/>
        <v/>
      </c>
    </row>
    <row r="51" spans="3:6" x14ac:dyDescent="0.25">
      <c r="C51" s="4">
        <v>45821</v>
      </c>
      <c r="D51">
        <v>57.594999999999999</v>
      </c>
      <c r="E51" t="str">
        <f t="shared" si="0"/>
        <v/>
      </c>
      <c r="F51" t="str">
        <f t="shared" si="1"/>
        <v/>
      </c>
    </row>
    <row r="52" spans="3:6" x14ac:dyDescent="0.25">
      <c r="C52" s="4">
        <v>45824</v>
      </c>
      <c r="D52">
        <v>56.100999999999999</v>
      </c>
      <c r="E52" t="str">
        <f t="shared" si="0"/>
        <v/>
      </c>
      <c r="F52" t="str">
        <f t="shared" si="1"/>
        <v/>
      </c>
    </row>
    <row r="53" spans="3:6" x14ac:dyDescent="0.25">
      <c r="C53" s="4">
        <v>45825</v>
      </c>
      <c r="D53">
        <v>57.69</v>
      </c>
      <c r="E53" t="str">
        <f t="shared" si="0"/>
        <v/>
      </c>
      <c r="F53" t="str">
        <f t="shared" si="1"/>
        <v/>
      </c>
    </row>
    <row r="54" spans="3:6" x14ac:dyDescent="0.25">
      <c r="C54" s="4">
        <v>45826</v>
      </c>
      <c r="D54">
        <v>58.506999999999998</v>
      </c>
      <c r="E54" t="str">
        <f t="shared" si="0"/>
        <v/>
      </c>
      <c r="F54" t="str">
        <f t="shared" si="1"/>
        <v/>
      </c>
    </row>
    <row r="55" spans="3:6" x14ac:dyDescent="0.25">
      <c r="C55" s="4">
        <v>45827</v>
      </c>
      <c r="D55">
        <v>61.43</v>
      </c>
      <c r="E55">
        <f t="shared" si="0"/>
        <v>1</v>
      </c>
      <c r="F55">
        <f t="shared" si="1"/>
        <v>61.43</v>
      </c>
    </row>
    <row r="56" spans="3:6" x14ac:dyDescent="0.25">
      <c r="C56" s="4">
        <v>45828</v>
      </c>
      <c r="D56">
        <v>59.218000000000004</v>
      </c>
      <c r="E56" t="str">
        <f t="shared" si="0"/>
        <v/>
      </c>
      <c r="F56" t="str">
        <f t="shared" si="1"/>
        <v/>
      </c>
    </row>
    <row r="57" spans="3:6" x14ac:dyDescent="0.25">
      <c r="C57" s="4">
        <v>45831</v>
      </c>
      <c r="D57">
        <v>59.88</v>
      </c>
      <c r="E57" t="str">
        <f t="shared" si="0"/>
        <v/>
      </c>
      <c r="F57" t="str">
        <f t="shared" si="1"/>
        <v/>
      </c>
    </row>
    <row r="58" spans="3:6" x14ac:dyDescent="0.25">
      <c r="C58" s="4">
        <v>45832</v>
      </c>
      <c r="D58">
        <v>56.253999999999998</v>
      </c>
      <c r="E58" t="str">
        <f t="shared" si="0"/>
        <v/>
      </c>
      <c r="F58" t="str">
        <f t="shared" si="1"/>
        <v/>
      </c>
    </row>
    <row r="59" spans="3:6" x14ac:dyDescent="0.25">
      <c r="C59" s="4">
        <v>45833</v>
      </c>
      <c r="D59">
        <v>56.591999999999999</v>
      </c>
      <c r="E59" t="str">
        <f t="shared" si="0"/>
        <v/>
      </c>
      <c r="F59" t="str">
        <f t="shared" si="1"/>
        <v/>
      </c>
    </row>
    <row r="60" spans="3:6" x14ac:dyDescent="0.25">
      <c r="C60" s="4">
        <v>45834</v>
      </c>
      <c r="D60">
        <v>56.137999999999998</v>
      </c>
      <c r="E60" t="str">
        <f t="shared" si="0"/>
        <v/>
      </c>
      <c r="F60" t="str">
        <f t="shared" si="1"/>
        <v/>
      </c>
    </row>
    <row r="61" spans="3:6" x14ac:dyDescent="0.25">
      <c r="C61" s="4">
        <v>45835</v>
      </c>
      <c r="D61">
        <v>54.7</v>
      </c>
      <c r="E61" t="str">
        <f t="shared" si="0"/>
        <v/>
      </c>
      <c r="F61" t="str">
        <f t="shared" si="1"/>
        <v/>
      </c>
    </row>
    <row r="62" spans="3:6" x14ac:dyDescent="0.25">
      <c r="C62" s="4">
        <v>45838</v>
      </c>
      <c r="D62">
        <v>54.506</v>
      </c>
      <c r="E62" t="str">
        <f t="shared" si="0"/>
        <v/>
      </c>
      <c r="F62" t="str">
        <f t="shared" si="1"/>
        <v/>
      </c>
    </row>
    <row r="63" spans="3:6" x14ac:dyDescent="0.25">
      <c r="C63" s="4">
        <v>45839</v>
      </c>
      <c r="D63">
        <v>54.271000000000001</v>
      </c>
      <c r="E63" t="str">
        <f t="shared" si="0"/>
        <v/>
      </c>
      <c r="F63" t="str">
        <f t="shared" si="1"/>
        <v/>
      </c>
    </row>
    <row r="64" spans="3:6" x14ac:dyDescent="0.25">
      <c r="C64" s="4">
        <v>45840</v>
      </c>
      <c r="D64">
        <v>54.247</v>
      </c>
      <c r="E64" t="str">
        <f t="shared" si="0"/>
        <v/>
      </c>
      <c r="F64" t="str">
        <f t="shared" si="1"/>
        <v/>
      </c>
    </row>
    <row r="65" spans="3:6" x14ac:dyDescent="0.25">
      <c r="C65" s="4">
        <v>45841</v>
      </c>
      <c r="D65">
        <v>53.003999999999998</v>
      </c>
      <c r="E65" t="str">
        <f t="shared" si="0"/>
        <v/>
      </c>
      <c r="F65" t="str">
        <f t="shared" si="1"/>
        <v/>
      </c>
    </row>
    <row r="66" spans="3:6" x14ac:dyDescent="0.25">
      <c r="C66" s="4">
        <v>45842</v>
      </c>
      <c r="D66">
        <v>54.831000000000003</v>
      </c>
      <c r="E66" t="str">
        <f t="shared" si="0"/>
        <v/>
      </c>
      <c r="F66" t="str">
        <f t="shared" si="1"/>
        <v/>
      </c>
    </row>
    <row r="67" spans="3:6" x14ac:dyDescent="0.25">
      <c r="C67" s="4">
        <v>45845</v>
      </c>
      <c r="D67">
        <v>53.845999999999997</v>
      </c>
      <c r="E67" t="str">
        <f t="shared" ref="E67:E130" si="2">IFERROR(VLOOKUP(C67,A:B,2, FALSE),"")</f>
        <v/>
      </c>
      <c r="F67" t="str">
        <f t="shared" ref="F67:F130" si="3">IF(E67=1,D67,"")</f>
        <v/>
      </c>
    </row>
    <row r="68" spans="3:6" x14ac:dyDescent="0.25">
      <c r="C68" s="4">
        <v>45846</v>
      </c>
      <c r="D68">
        <v>53.932000000000002</v>
      </c>
      <c r="E68" t="str">
        <f t="shared" si="2"/>
        <v/>
      </c>
      <c r="F68" t="str">
        <f t="shared" si="3"/>
        <v/>
      </c>
    </row>
    <row r="69" spans="3:6" x14ac:dyDescent="0.25">
      <c r="C69" s="4">
        <v>45847</v>
      </c>
      <c r="D69">
        <v>53.478000000000002</v>
      </c>
      <c r="E69" t="str">
        <f t="shared" si="2"/>
        <v/>
      </c>
      <c r="F69" t="str">
        <f t="shared" si="3"/>
        <v/>
      </c>
    </row>
    <row r="70" spans="3:6" x14ac:dyDescent="0.25">
      <c r="C70" s="4">
        <v>45848</v>
      </c>
      <c r="D70">
        <v>53.298999999999999</v>
      </c>
      <c r="E70" t="str">
        <f t="shared" si="2"/>
        <v/>
      </c>
      <c r="F70" t="str">
        <f t="shared" si="3"/>
        <v/>
      </c>
    </row>
    <row r="71" spans="3:6" x14ac:dyDescent="0.25">
      <c r="C71" s="4">
        <v>45849</v>
      </c>
      <c r="D71">
        <v>54.253</v>
      </c>
      <c r="E71" t="str">
        <f t="shared" si="2"/>
        <v/>
      </c>
      <c r="F71" t="str">
        <f t="shared" si="3"/>
        <v/>
      </c>
    </row>
    <row r="72" spans="3:6" x14ac:dyDescent="0.25">
      <c r="C72" s="4">
        <v>45852</v>
      </c>
      <c r="D72">
        <v>54.639000000000003</v>
      </c>
      <c r="E72" t="str">
        <f t="shared" si="2"/>
        <v/>
      </c>
      <c r="F72" t="str">
        <f t="shared" si="3"/>
        <v/>
      </c>
    </row>
    <row r="73" spans="3:6" x14ac:dyDescent="0.25">
      <c r="C73" s="4">
        <v>45853</v>
      </c>
      <c r="D73">
        <v>55.072000000000003</v>
      </c>
      <c r="E73" t="str">
        <f t="shared" si="2"/>
        <v/>
      </c>
      <c r="F73" t="str">
        <f t="shared" si="3"/>
        <v/>
      </c>
    </row>
    <row r="74" spans="3:6" x14ac:dyDescent="0.25">
      <c r="C74" s="4">
        <v>45854</v>
      </c>
      <c r="D74">
        <v>55.631</v>
      </c>
      <c r="E74" t="str">
        <f t="shared" si="2"/>
        <v/>
      </c>
      <c r="F74" t="str">
        <f t="shared" si="3"/>
        <v/>
      </c>
    </row>
    <row r="75" spans="3:6" x14ac:dyDescent="0.25">
      <c r="C75" s="4">
        <v>45855</v>
      </c>
      <c r="D75">
        <v>54.213000000000001</v>
      </c>
      <c r="E75" t="str">
        <f t="shared" si="2"/>
        <v/>
      </c>
      <c r="F75" t="str">
        <f t="shared" si="3"/>
        <v/>
      </c>
    </row>
    <row r="76" spans="3:6" x14ac:dyDescent="0.25">
      <c r="C76" s="4">
        <v>45856</v>
      </c>
      <c r="D76">
        <v>53.832000000000001</v>
      </c>
      <c r="E76" t="str">
        <f t="shared" si="2"/>
        <v/>
      </c>
      <c r="F76" t="str">
        <f t="shared" si="3"/>
        <v/>
      </c>
    </row>
    <row r="77" spans="3:6" x14ac:dyDescent="0.25">
      <c r="C77" s="4">
        <v>45859</v>
      </c>
      <c r="D77">
        <v>53.965000000000003</v>
      </c>
      <c r="E77" t="str">
        <f t="shared" si="2"/>
        <v/>
      </c>
      <c r="F77" t="str">
        <f t="shared" si="3"/>
        <v/>
      </c>
    </row>
    <row r="78" spans="3:6" x14ac:dyDescent="0.25">
      <c r="C78" s="4">
        <v>45860</v>
      </c>
      <c r="D78">
        <v>54.531999999999996</v>
      </c>
      <c r="E78" t="str">
        <f t="shared" si="2"/>
        <v/>
      </c>
      <c r="F78" t="str">
        <f t="shared" si="3"/>
        <v/>
      </c>
    </row>
    <row r="79" spans="3:6" x14ac:dyDescent="0.25">
      <c r="C79" s="4">
        <v>45861</v>
      </c>
      <c r="D79">
        <v>53.115000000000002</v>
      </c>
      <c r="E79" t="str">
        <f t="shared" si="2"/>
        <v/>
      </c>
      <c r="F79" t="str">
        <f t="shared" si="3"/>
        <v/>
      </c>
    </row>
    <row r="80" spans="3:6" x14ac:dyDescent="0.25">
      <c r="C80" s="4">
        <v>45862</v>
      </c>
      <c r="D80">
        <v>53.042999999999999</v>
      </c>
      <c r="E80" t="str">
        <f t="shared" si="2"/>
        <v/>
      </c>
      <c r="F80" t="str">
        <f t="shared" si="3"/>
        <v/>
      </c>
    </row>
    <row r="81" spans="3:6" x14ac:dyDescent="0.25">
      <c r="C81" s="4">
        <v>45863</v>
      </c>
      <c r="D81">
        <v>52.845999999999997</v>
      </c>
      <c r="E81" t="str">
        <f t="shared" si="2"/>
        <v/>
      </c>
      <c r="F81" t="str">
        <f t="shared" si="3"/>
        <v/>
      </c>
    </row>
    <row r="82" spans="3:6" x14ac:dyDescent="0.25">
      <c r="C82" s="4">
        <v>45866</v>
      </c>
      <c r="D82">
        <v>53.137</v>
      </c>
      <c r="E82" t="str">
        <f t="shared" si="2"/>
        <v/>
      </c>
      <c r="F82" t="str">
        <f t="shared" si="3"/>
        <v/>
      </c>
    </row>
    <row r="83" spans="3:6" x14ac:dyDescent="0.25">
      <c r="C83" s="4">
        <v>45867</v>
      </c>
      <c r="D83">
        <v>52.62</v>
      </c>
      <c r="E83" t="str">
        <f t="shared" si="2"/>
        <v/>
      </c>
      <c r="F83" t="str">
        <f t="shared" si="3"/>
        <v/>
      </c>
    </row>
    <row r="84" spans="3:6" x14ac:dyDescent="0.25">
      <c r="C84" s="4">
        <v>45868</v>
      </c>
      <c r="D84">
        <v>52.863</v>
      </c>
      <c r="E84" t="str">
        <f t="shared" si="2"/>
        <v/>
      </c>
      <c r="F84" t="str">
        <f t="shared" si="3"/>
        <v/>
      </c>
    </row>
    <row r="85" spans="3:6" x14ac:dyDescent="0.25">
      <c r="C85" s="4">
        <v>45869</v>
      </c>
      <c r="D85">
        <v>53.648000000000003</v>
      </c>
      <c r="E85" t="str">
        <f t="shared" si="2"/>
        <v/>
      </c>
      <c r="F85" t="str">
        <f t="shared" si="3"/>
        <v/>
      </c>
    </row>
    <row r="86" spans="3:6" x14ac:dyDescent="0.25">
      <c r="C86" s="4">
        <v>45870</v>
      </c>
      <c r="D86">
        <v>56.274999999999999</v>
      </c>
      <c r="E86">
        <f t="shared" si="2"/>
        <v>1</v>
      </c>
      <c r="F86">
        <f t="shared" si="3"/>
        <v>56.274999999999999</v>
      </c>
    </row>
    <row r="87" spans="3:6" x14ac:dyDescent="0.25">
      <c r="C87" s="4">
        <v>45873</v>
      </c>
      <c r="D87">
        <v>55.597000000000001</v>
      </c>
      <c r="E87" t="str">
        <f t="shared" si="2"/>
        <v/>
      </c>
      <c r="F87" t="str">
        <f t="shared" si="3"/>
        <v/>
      </c>
    </row>
    <row r="88" spans="3:6" x14ac:dyDescent="0.25">
      <c r="C88" s="4">
        <v>45874</v>
      </c>
      <c r="D88">
        <v>55.704000000000001</v>
      </c>
      <c r="E88" t="str">
        <f t="shared" si="2"/>
        <v/>
      </c>
      <c r="F88" t="str">
        <f t="shared" si="3"/>
        <v/>
      </c>
    </row>
    <row r="89" spans="3:6" x14ac:dyDescent="0.25">
      <c r="C89" s="4">
        <v>45875</v>
      </c>
      <c r="D89">
        <v>55.249000000000002</v>
      </c>
      <c r="E89" t="str">
        <f t="shared" si="2"/>
        <v/>
      </c>
      <c r="F89" t="str">
        <f t="shared" si="3"/>
        <v/>
      </c>
    </row>
    <row r="90" spans="3:6" x14ac:dyDescent="0.25">
      <c r="C90" s="4">
        <v>45876</v>
      </c>
      <c r="D90">
        <v>54.295999999999999</v>
      </c>
      <c r="E90" t="str">
        <f t="shared" si="2"/>
        <v/>
      </c>
      <c r="F90" t="str">
        <f t="shared" si="3"/>
        <v/>
      </c>
    </row>
    <row r="91" spans="3:6" x14ac:dyDescent="0.25">
      <c r="C91" s="4">
        <v>45877</v>
      </c>
      <c r="D91">
        <v>53.335000000000001</v>
      </c>
      <c r="E91" t="str">
        <f t="shared" si="2"/>
        <v/>
      </c>
      <c r="F91" t="str">
        <f t="shared" si="3"/>
        <v/>
      </c>
    </row>
    <row r="92" spans="3:6" x14ac:dyDescent="0.25">
      <c r="C92" s="4">
        <v>45880</v>
      </c>
      <c r="D92">
        <v>53.359000000000002</v>
      </c>
      <c r="E92" t="str">
        <f t="shared" si="2"/>
        <v/>
      </c>
      <c r="F92" t="str">
        <f t="shared" si="3"/>
        <v/>
      </c>
    </row>
    <row r="93" spans="3:6" x14ac:dyDescent="0.25">
      <c r="C93" s="4">
        <v>45881</v>
      </c>
      <c r="D93">
        <v>52.584000000000003</v>
      </c>
      <c r="E93" t="str">
        <f t="shared" si="2"/>
        <v/>
      </c>
      <c r="F93" t="str">
        <f t="shared" si="3"/>
        <v/>
      </c>
    </row>
    <row r="94" spans="3:6" x14ac:dyDescent="0.25">
      <c r="C94" s="4">
        <v>45882</v>
      </c>
      <c r="D94">
        <v>51.792999999999999</v>
      </c>
      <c r="E94" t="str">
        <f t="shared" si="2"/>
        <v/>
      </c>
      <c r="F94" t="str">
        <f t="shared" si="3"/>
        <v/>
      </c>
    </row>
    <row r="95" spans="3:6" x14ac:dyDescent="0.25">
      <c r="C95" s="4">
        <v>45883</v>
      </c>
      <c r="D95">
        <v>51.798000000000002</v>
      </c>
      <c r="E95" t="str">
        <f t="shared" si="2"/>
        <v/>
      </c>
      <c r="F95" t="str">
        <f t="shared" si="3"/>
        <v/>
      </c>
    </row>
    <row r="96" spans="3:6" x14ac:dyDescent="0.25">
      <c r="C96" s="4">
        <v>45884</v>
      </c>
      <c r="D96">
        <v>51.594999999999999</v>
      </c>
      <c r="E96" t="str">
        <f t="shared" si="2"/>
        <v/>
      </c>
      <c r="F96" t="str">
        <f t="shared" si="3"/>
        <v/>
      </c>
    </row>
    <row r="97" spans="3:6" x14ac:dyDescent="0.25">
      <c r="C97" s="4">
        <v>45887</v>
      </c>
      <c r="D97">
        <v>51.526000000000003</v>
      </c>
      <c r="E97" t="str">
        <f t="shared" si="2"/>
        <v/>
      </c>
      <c r="F97" t="str">
        <f t="shared" si="3"/>
        <v/>
      </c>
    </row>
    <row r="98" spans="3:6" x14ac:dyDescent="0.25">
      <c r="C98" s="4">
        <v>45888</v>
      </c>
      <c r="D98">
        <v>51.503999999999998</v>
      </c>
      <c r="E98" t="str">
        <f t="shared" si="2"/>
        <v/>
      </c>
      <c r="F98" t="str">
        <f t="shared" si="3"/>
        <v/>
      </c>
    </row>
    <row r="99" spans="3:6" x14ac:dyDescent="0.25">
      <c r="C99" s="4">
        <v>45889</v>
      </c>
      <c r="D99">
        <v>52.372999999999998</v>
      </c>
      <c r="E99" t="str">
        <f t="shared" si="2"/>
        <v/>
      </c>
      <c r="F99" t="str">
        <f t="shared" si="3"/>
        <v/>
      </c>
    </row>
    <row r="100" spans="3:6" x14ac:dyDescent="0.25">
      <c r="C100" s="4">
        <v>45890</v>
      </c>
      <c r="D100">
        <v>53.082999999999998</v>
      </c>
      <c r="E100" t="str">
        <f t="shared" si="2"/>
        <v/>
      </c>
      <c r="F100" t="str">
        <f t="shared" si="3"/>
        <v/>
      </c>
    </row>
    <row r="101" spans="3:6" x14ac:dyDescent="0.25">
      <c r="C101" s="4">
        <v>45891</v>
      </c>
      <c r="D101">
        <v>51.430999999999997</v>
      </c>
      <c r="E101" t="str">
        <f t="shared" si="2"/>
        <v/>
      </c>
      <c r="F101" t="str">
        <f t="shared" si="3"/>
        <v/>
      </c>
    </row>
    <row r="102" spans="3:6" x14ac:dyDescent="0.25">
      <c r="C102" s="4">
        <v>45895</v>
      </c>
      <c r="D102">
        <v>53.027000000000001</v>
      </c>
      <c r="E102" t="str">
        <f t="shared" si="2"/>
        <v/>
      </c>
      <c r="F102" t="str">
        <f t="shared" si="3"/>
        <v/>
      </c>
    </row>
    <row r="103" spans="3:6" x14ac:dyDescent="0.25">
      <c r="C103" s="4">
        <v>45896</v>
      </c>
      <c r="D103">
        <v>54.905000000000001</v>
      </c>
      <c r="E103" t="str">
        <f t="shared" si="2"/>
        <v/>
      </c>
      <c r="F103" t="str">
        <f t="shared" si="3"/>
        <v/>
      </c>
    </row>
    <row r="104" spans="3:6" x14ac:dyDescent="0.25">
      <c r="C104" s="4">
        <v>45897</v>
      </c>
      <c r="D104">
        <v>54.360999999999997</v>
      </c>
      <c r="E104" t="str">
        <f t="shared" si="2"/>
        <v/>
      </c>
      <c r="F104" t="str">
        <f t="shared" si="3"/>
        <v/>
      </c>
    </row>
    <row r="105" spans="3:6" x14ac:dyDescent="0.25">
      <c r="C105" s="4">
        <v>45898</v>
      </c>
      <c r="D105">
        <v>55.5</v>
      </c>
      <c r="E105" t="str">
        <f t="shared" si="2"/>
        <v/>
      </c>
      <c r="F105" t="str">
        <f t="shared" si="3"/>
        <v/>
      </c>
    </row>
    <row r="106" spans="3:6" x14ac:dyDescent="0.25">
      <c r="C106" s="4">
        <v>45901</v>
      </c>
      <c r="D106">
        <v>55.526000000000003</v>
      </c>
      <c r="E106">
        <f t="shared" si="2"/>
        <v>1</v>
      </c>
      <c r="F106">
        <f t="shared" si="3"/>
        <v>55.526000000000003</v>
      </c>
    </row>
    <row r="107" spans="3:6" x14ac:dyDescent="0.25">
      <c r="C107" s="4">
        <v>45902</v>
      </c>
      <c r="D107">
        <v>56.948999999999998</v>
      </c>
      <c r="E107" t="str">
        <f t="shared" si="2"/>
        <v/>
      </c>
      <c r="F107" t="str">
        <f t="shared" si="3"/>
        <v/>
      </c>
    </row>
    <row r="108" spans="3:6" x14ac:dyDescent="0.25">
      <c r="C108" s="4">
        <v>45903</v>
      </c>
      <c r="D108">
        <v>55.280999999999999</v>
      </c>
      <c r="E108" t="str">
        <f t="shared" si="2"/>
        <v/>
      </c>
      <c r="F108" t="str">
        <f t="shared" si="3"/>
        <v/>
      </c>
    </row>
    <row r="109" spans="3:6" x14ac:dyDescent="0.25">
      <c r="C109" s="4">
        <v>45904</v>
      </c>
      <c r="D109">
        <v>53.954000000000001</v>
      </c>
      <c r="E109" t="str">
        <f t="shared" si="2"/>
        <v/>
      </c>
      <c r="F109" t="str">
        <f t="shared" si="3"/>
        <v/>
      </c>
    </row>
    <row r="110" spans="3:6" x14ac:dyDescent="0.25">
      <c r="C110" s="4">
        <v>45905</v>
      </c>
      <c r="D110">
        <v>53.905000000000001</v>
      </c>
      <c r="E110" t="str">
        <f t="shared" si="2"/>
        <v/>
      </c>
      <c r="F110" t="str">
        <f t="shared" si="3"/>
        <v/>
      </c>
    </row>
    <row r="111" spans="3:6" x14ac:dyDescent="0.25">
      <c r="C111" s="4">
        <v>45908</v>
      </c>
      <c r="D111">
        <v>53.210999999999999</v>
      </c>
      <c r="E111" t="str">
        <f t="shared" si="2"/>
        <v/>
      </c>
      <c r="F111" t="str">
        <f t="shared" si="3"/>
        <v/>
      </c>
    </row>
    <row r="112" spans="3:6" x14ac:dyDescent="0.25">
      <c r="C112" s="4">
        <v>45909</v>
      </c>
      <c r="D112">
        <v>53</v>
      </c>
      <c r="E112" t="str">
        <f t="shared" si="2"/>
        <v/>
      </c>
      <c r="F112" t="str">
        <f t="shared" si="3"/>
        <v/>
      </c>
    </row>
    <row r="113" spans="3:6" x14ac:dyDescent="0.25">
      <c r="C113" s="4">
        <v>45910</v>
      </c>
      <c r="D113">
        <v>52.491</v>
      </c>
      <c r="E113" t="str">
        <f t="shared" si="2"/>
        <v/>
      </c>
      <c r="F113" t="str">
        <f t="shared" si="3"/>
        <v/>
      </c>
    </row>
    <row r="114" spans="3:6" x14ac:dyDescent="0.25">
      <c r="C114" s="4">
        <v>45911</v>
      </c>
      <c r="D114">
        <v>50.987000000000002</v>
      </c>
      <c r="E114" t="str">
        <f t="shared" si="2"/>
        <v/>
      </c>
      <c r="F114" t="str">
        <f t="shared" si="3"/>
        <v/>
      </c>
    </row>
    <row r="115" spans="3:6" x14ac:dyDescent="0.25">
      <c r="C115" s="4">
        <v>45912</v>
      </c>
      <c r="D115">
        <v>50.905999999999999</v>
      </c>
      <c r="E115" t="str">
        <f t="shared" si="2"/>
        <v/>
      </c>
      <c r="F115" t="str">
        <f t="shared" si="3"/>
        <v/>
      </c>
    </row>
    <row r="116" spans="3:6" x14ac:dyDescent="0.25">
      <c r="C116" s="4">
        <v>45915</v>
      </c>
      <c r="D116">
        <v>50.040999999999997</v>
      </c>
      <c r="E116" t="str">
        <f t="shared" si="2"/>
        <v/>
      </c>
      <c r="F116" t="str">
        <f t="shared" si="3"/>
        <v/>
      </c>
    </row>
    <row r="117" spans="3:6" x14ac:dyDescent="0.25">
      <c r="C117" s="4">
        <v>45916</v>
      </c>
      <c r="D117">
        <v>50.856000000000002</v>
      </c>
      <c r="E117" t="str">
        <f t="shared" si="2"/>
        <v/>
      </c>
      <c r="F117" t="str">
        <f t="shared" si="3"/>
        <v/>
      </c>
    </row>
    <row r="118" spans="3:6" x14ac:dyDescent="0.25">
      <c r="C118" s="4">
        <v>45917</v>
      </c>
      <c r="D118">
        <v>50.744</v>
      </c>
      <c r="E118" t="str">
        <f t="shared" si="2"/>
        <v/>
      </c>
      <c r="F118" t="str">
        <f t="shared" si="3"/>
        <v/>
      </c>
    </row>
    <row r="119" spans="3:6" x14ac:dyDescent="0.25">
      <c r="C119" s="4">
        <v>45918</v>
      </c>
      <c r="D119">
        <v>50.07</v>
      </c>
      <c r="E119" t="str">
        <f t="shared" si="2"/>
        <v/>
      </c>
      <c r="F119" t="str">
        <f t="shared" si="3"/>
        <v/>
      </c>
    </row>
    <row r="120" spans="3:6" x14ac:dyDescent="0.25">
      <c r="C120" s="4">
        <v>45919</v>
      </c>
      <c r="D120">
        <v>50.316000000000003</v>
      </c>
      <c r="E120" t="str">
        <f t="shared" si="2"/>
        <v/>
      </c>
      <c r="F120" t="str">
        <f t="shared" si="3"/>
        <v/>
      </c>
    </row>
    <row r="121" spans="3:6" x14ac:dyDescent="0.25">
      <c r="C121" s="4">
        <v>45922</v>
      </c>
      <c r="D121">
        <v>56.058</v>
      </c>
      <c r="E121" t="str">
        <f t="shared" si="2"/>
        <v/>
      </c>
      <c r="F121" t="str">
        <f t="shared" si="3"/>
        <v/>
      </c>
    </row>
    <row r="122" spans="3:6" x14ac:dyDescent="0.25">
      <c r="C122" s="4">
        <v>45923</v>
      </c>
      <c r="D122">
        <v>55.554000000000002</v>
      </c>
      <c r="E122" t="str">
        <f t="shared" si="2"/>
        <v/>
      </c>
      <c r="F122" t="str">
        <f t="shared" si="3"/>
        <v/>
      </c>
    </row>
    <row r="123" spans="3:6" x14ac:dyDescent="0.25">
      <c r="C123" s="4">
        <v>45924</v>
      </c>
      <c r="D123">
        <v>56.045000000000002</v>
      </c>
      <c r="E123" t="str">
        <f t="shared" si="2"/>
        <v/>
      </c>
      <c r="F123" t="str">
        <f t="shared" si="3"/>
        <v/>
      </c>
    </row>
    <row r="124" spans="3:6" x14ac:dyDescent="0.25">
      <c r="C124" s="4">
        <v>45925</v>
      </c>
      <c r="D124">
        <v>56.823</v>
      </c>
      <c r="E124">
        <f t="shared" si="2"/>
        <v>1</v>
      </c>
      <c r="F124">
        <f t="shared" si="3"/>
        <v>56.823</v>
      </c>
    </row>
    <row r="125" spans="3:6" x14ac:dyDescent="0.25">
      <c r="C125" s="4">
        <v>45926</v>
      </c>
      <c r="D125">
        <v>56.4</v>
      </c>
      <c r="E125" t="str">
        <f t="shared" si="2"/>
        <v/>
      </c>
      <c r="F125" t="str">
        <f t="shared" si="3"/>
        <v/>
      </c>
    </row>
    <row r="126" spans="3:6" x14ac:dyDescent="0.25">
      <c r="C126" s="4">
        <v>45929</v>
      </c>
      <c r="D126">
        <v>55.997999999999998</v>
      </c>
      <c r="E126" t="str">
        <f t="shared" si="2"/>
        <v/>
      </c>
      <c r="F126" t="str">
        <f t="shared" si="3"/>
        <v/>
      </c>
    </row>
    <row r="127" spans="3:6" x14ac:dyDescent="0.25">
      <c r="C127" s="4">
        <v>45930</v>
      </c>
      <c r="D127">
        <v>55.984999999999999</v>
      </c>
      <c r="E127" t="str">
        <f t="shared" si="2"/>
        <v/>
      </c>
      <c r="F127" t="str">
        <f t="shared" si="3"/>
        <v/>
      </c>
    </row>
    <row r="128" spans="3:6" x14ac:dyDescent="0.25">
      <c r="C128" s="4">
        <v>45931</v>
      </c>
      <c r="D128">
        <v>55.332999999999998</v>
      </c>
      <c r="E128" t="str">
        <f t="shared" si="2"/>
        <v/>
      </c>
      <c r="F128" t="str">
        <f t="shared" si="3"/>
        <v/>
      </c>
    </row>
    <row r="129" spans="3:6" x14ac:dyDescent="0.25">
      <c r="C129" s="4">
        <v>45932</v>
      </c>
      <c r="D129">
        <v>54.854999999999997</v>
      </c>
      <c r="E129" t="str">
        <f t="shared" si="2"/>
        <v/>
      </c>
      <c r="F129" t="str">
        <f t="shared" si="3"/>
        <v/>
      </c>
    </row>
    <row r="130" spans="3:6" x14ac:dyDescent="0.25">
      <c r="C130" s="4">
        <v>45933</v>
      </c>
      <c r="D130">
        <v>54.923000000000002</v>
      </c>
      <c r="E130" t="str">
        <f t="shared" si="2"/>
        <v/>
      </c>
      <c r="F130" t="str">
        <f t="shared" si="3"/>
        <v/>
      </c>
    </row>
    <row r="131" spans="3:6" x14ac:dyDescent="0.25">
      <c r="C131" s="4">
        <v>45936</v>
      </c>
      <c r="D131">
        <v>55.719000000000001</v>
      </c>
      <c r="E131" t="str">
        <f t="shared" ref="E131:E135" si="4">IFERROR(VLOOKUP(C131,A:B,2, FALSE),"")</f>
        <v/>
      </c>
      <c r="F131" t="str">
        <f t="shared" ref="F131:F135" si="5">IF(E131=1,D131,"")</f>
        <v/>
      </c>
    </row>
    <row r="132" spans="3:6" x14ac:dyDescent="0.25">
      <c r="C132" s="4">
        <v>45937</v>
      </c>
      <c r="D132">
        <v>56.481000000000002</v>
      </c>
      <c r="E132" t="str">
        <f t="shared" si="4"/>
        <v/>
      </c>
      <c r="F132" t="str">
        <f t="shared" si="5"/>
        <v/>
      </c>
    </row>
    <row r="133" spans="3:6" x14ac:dyDescent="0.25">
      <c r="C133" s="4">
        <v>45938</v>
      </c>
      <c r="D133">
        <v>56.034999999999997</v>
      </c>
      <c r="E133" t="str">
        <f t="shared" si="4"/>
        <v/>
      </c>
      <c r="F133" t="str">
        <f t="shared" si="5"/>
        <v/>
      </c>
    </row>
    <row r="134" spans="3:6" x14ac:dyDescent="0.25">
      <c r="C134" s="4">
        <v>45939</v>
      </c>
      <c r="D134">
        <v>56.972000000000001</v>
      </c>
      <c r="E134" t="str">
        <f t="shared" si="4"/>
        <v/>
      </c>
      <c r="F134" t="str">
        <f t="shared" si="5"/>
        <v/>
      </c>
    </row>
    <row r="135" spans="3:6" x14ac:dyDescent="0.25">
      <c r="C135" s="4">
        <v>45940</v>
      </c>
      <c r="D135">
        <v>57.622</v>
      </c>
      <c r="E135">
        <f t="shared" si="4"/>
        <v>1</v>
      </c>
      <c r="F135">
        <f t="shared" si="5"/>
        <v>57.622</v>
      </c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"/>
  <sheetViews>
    <sheetView workbookViewId="0">
      <selection activeCell="Q8" sqref="A1:Q8"/>
    </sheetView>
  </sheetViews>
  <sheetFormatPr defaultRowHeight="15" x14ac:dyDescent="0.25"/>
  <cols>
    <col min="1" max="1" width="11.42578125" bestFit="1" customWidth="1"/>
    <col min="2" max="2" width="4.42578125" bestFit="1" customWidth="1"/>
    <col min="3" max="4" width="6.85546875" bestFit="1" customWidth="1"/>
    <col min="5" max="6" width="4.42578125" bestFit="1" customWidth="1"/>
    <col min="7" max="7" width="9.85546875" bestFit="1" customWidth="1"/>
    <col min="8" max="9" width="9" bestFit="1" customWidth="1"/>
    <col min="10" max="10" width="13.28515625" customWidth="1"/>
    <col min="11" max="11" width="14.140625" customWidth="1"/>
    <col min="12" max="12" width="1.7109375" customWidth="1"/>
    <col min="13" max="13" width="12" customWidth="1"/>
    <col min="14" max="14" width="5.42578125" bestFit="1" customWidth="1"/>
    <col min="15" max="15" width="9.85546875" bestFit="1" customWidth="1"/>
    <col min="16" max="16" width="0.85546875" customWidth="1"/>
    <col min="17" max="17" width="12.5703125" bestFit="1" customWidth="1"/>
  </cols>
  <sheetData>
    <row r="1" spans="1:17" ht="15.75" thickBot="1" x14ac:dyDescent="0.3">
      <c r="A1" s="5"/>
      <c r="B1" s="23" t="s">
        <v>1456</v>
      </c>
      <c r="C1" s="23"/>
      <c r="D1" s="23"/>
      <c r="E1" s="23"/>
      <c r="F1" s="23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24" x14ac:dyDescent="0.25">
      <c r="A2" s="6" t="s">
        <v>73</v>
      </c>
      <c r="B2" s="6" t="s">
        <v>74</v>
      </c>
      <c r="C2" s="6" t="s">
        <v>75</v>
      </c>
      <c r="D2" s="6" t="s">
        <v>76</v>
      </c>
      <c r="E2" s="6" t="s">
        <v>77</v>
      </c>
      <c r="F2" s="6" t="s">
        <v>78</v>
      </c>
      <c r="G2" s="6" t="s">
        <v>79</v>
      </c>
      <c r="H2" s="6" t="s">
        <v>22</v>
      </c>
      <c r="I2" s="6" t="s">
        <v>1452</v>
      </c>
      <c r="J2" s="7" t="s">
        <v>1453</v>
      </c>
      <c r="K2" s="8" t="s">
        <v>1460</v>
      </c>
      <c r="L2" s="9"/>
      <c r="M2" s="6" t="s">
        <v>1451</v>
      </c>
      <c r="N2" s="21" t="s">
        <v>1454</v>
      </c>
      <c r="O2" s="6" t="s">
        <v>1455</v>
      </c>
      <c r="P2" s="10"/>
      <c r="Q2" s="11" t="s">
        <v>1457</v>
      </c>
    </row>
    <row r="3" spans="1:17" x14ac:dyDescent="0.25">
      <c r="A3" s="12" t="s">
        <v>35</v>
      </c>
      <c r="B3" s="13">
        <v>0</v>
      </c>
      <c r="C3" s="13">
        <v>-8099</v>
      </c>
      <c r="D3" s="13">
        <v>-52392</v>
      </c>
      <c r="E3" s="13">
        <v>0</v>
      </c>
      <c r="F3" s="13">
        <v>0</v>
      </c>
      <c r="G3" s="13">
        <v>-14282263</v>
      </c>
      <c r="H3" s="13">
        <v>-2264443</v>
      </c>
      <c r="I3" s="13">
        <v>5029691</v>
      </c>
      <c r="J3" s="14">
        <v>-4476063.2165431501</v>
      </c>
      <c r="K3" s="15">
        <f>I3+J3</f>
        <v>553627.78345684987</v>
      </c>
      <c r="L3" s="5"/>
      <c r="M3" s="13">
        <v>387800000</v>
      </c>
      <c r="N3" s="22">
        <v>330</v>
      </c>
      <c r="O3" s="13">
        <f>(N3/10000)*M3*-1</f>
        <v>-12797400</v>
      </c>
      <c r="P3" s="5"/>
      <c r="Q3" s="16">
        <f>K3+O3</f>
        <v>-12243772.216543149</v>
      </c>
    </row>
    <row r="4" spans="1:17" x14ac:dyDescent="0.25">
      <c r="A4" s="12" t="s">
        <v>42</v>
      </c>
      <c r="B4" s="13">
        <v>0</v>
      </c>
      <c r="C4" s="13">
        <v>51783</v>
      </c>
      <c r="D4" s="13">
        <v>0</v>
      </c>
      <c r="E4" s="13">
        <v>0</v>
      </c>
      <c r="F4" s="13">
        <v>0</v>
      </c>
      <c r="G4" s="13">
        <v>-2606219</v>
      </c>
      <c r="H4" s="13">
        <v>-2606219</v>
      </c>
      <c r="I4" s="13">
        <v>-574000</v>
      </c>
      <c r="J4" s="14">
        <v>1479578.1167897379</v>
      </c>
      <c r="K4" s="15">
        <f>I4+J4</f>
        <v>905578.11678973795</v>
      </c>
      <c r="L4" s="5"/>
      <c r="M4" s="13">
        <v>-420000000</v>
      </c>
      <c r="N4" s="22">
        <v>53</v>
      </c>
      <c r="O4" s="13">
        <f t="shared" ref="O4:O6" si="0">(N4/10000)*M4*-1</f>
        <v>2226000</v>
      </c>
      <c r="P4" s="5"/>
      <c r="Q4" s="16">
        <f t="shared" ref="Q4:Q6" si="1">K4+O4</f>
        <v>3131578.1167897377</v>
      </c>
    </row>
    <row r="5" spans="1:17" x14ac:dyDescent="0.25">
      <c r="A5" s="12" t="s">
        <v>66</v>
      </c>
      <c r="B5" s="13">
        <v>0</v>
      </c>
      <c r="C5" s="13">
        <v>51783</v>
      </c>
      <c r="D5" s="13">
        <v>0</v>
      </c>
      <c r="E5" s="13">
        <v>0</v>
      </c>
      <c r="F5" s="13">
        <v>0</v>
      </c>
      <c r="G5" s="13">
        <v>-2990854</v>
      </c>
      <c r="H5" s="13">
        <v>-2990854</v>
      </c>
      <c r="I5" s="13">
        <v>-560000</v>
      </c>
      <c r="J5" s="14">
        <v>1479578.1167897379</v>
      </c>
      <c r="K5" s="15">
        <f>I5+J5</f>
        <v>919578.11678973795</v>
      </c>
      <c r="L5" s="5"/>
      <c r="M5" s="13">
        <v>-420000000</v>
      </c>
      <c r="N5" s="22">
        <v>57</v>
      </c>
      <c r="O5" s="13">
        <f t="shared" si="0"/>
        <v>2394000</v>
      </c>
      <c r="P5" s="5"/>
      <c r="Q5" s="16">
        <f t="shared" si="1"/>
        <v>3313578.1167897377</v>
      </c>
    </row>
    <row r="6" spans="1:17" x14ac:dyDescent="0.25">
      <c r="A6" s="12" t="s">
        <v>31</v>
      </c>
      <c r="B6" s="13">
        <v>0</v>
      </c>
      <c r="C6" s="13">
        <v>27741</v>
      </c>
      <c r="D6" s="13">
        <v>0</v>
      </c>
      <c r="E6" s="13">
        <v>0</v>
      </c>
      <c r="F6" s="13">
        <v>0</v>
      </c>
      <c r="G6" s="13">
        <v>-7482591</v>
      </c>
      <c r="H6" s="13">
        <v>-7482591</v>
      </c>
      <c r="I6" s="13">
        <v>-1717500</v>
      </c>
      <c r="J6" s="14">
        <v>4697073.3866340891</v>
      </c>
      <c r="K6" s="15">
        <f>I6+J6</f>
        <v>2979573.3866340891</v>
      </c>
      <c r="L6" s="5"/>
      <c r="M6" s="13">
        <v>-225000000</v>
      </c>
      <c r="N6" s="22">
        <v>280</v>
      </c>
      <c r="O6" s="13">
        <f t="shared" si="0"/>
        <v>6300000</v>
      </c>
      <c r="P6" s="5"/>
      <c r="Q6" s="16">
        <f t="shared" si="1"/>
        <v>9279573.3866340891</v>
      </c>
    </row>
    <row r="7" spans="1:17" ht="15.75" thickBo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17"/>
      <c r="L7" s="5"/>
      <c r="M7" s="5"/>
      <c r="N7" s="5"/>
      <c r="O7" s="5"/>
      <c r="P7" s="5"/>
      <c r="Q7" s="17"/>
    </row>
    <row r="8" spans="1:17" ht="15" customHeight="1" thickBot="1" x14ac:dyDescent="0.3">
      <c r="A8" s="5"/>
      <c r="B8" s="5"/>
      <c r="C8" s="5"/>
      <c r="D8" s="5"/>
      <c r="E8" s="5"/>
      <c r="F8" s="5"/>
      <c r="G8" s="5"/>
      <c r="H8" s="5"/>
      <c r="I8" s="5"/>
      <c r="J8" s="18" t="s">
        <v>1459</v>
      </c>
      <c r="K8" s="19">
        <f>SUM(K3:K6)</f>
        <v>5358357.4036704153</v>
      </c>
      <c r="L8" s="5"/>
      <c r="M8" s="5"/>
      <c r="N8" s="24" t="s">
        <v>1458</v>
      </c>
      <c r="O8" s="25"/>
      <c r="P8" s="26"/>
      <c r="Q8" s="20">
        <f>SUM(Q3:Q6)</f>
        <v>3480957.4036704153</v>
      </c>
    </row>
  </sheetData>
  <mergeCells count="2">
    <mergeCell ref="B1:F1"/>
    <mergeCell ref="N8:P8"/>
  </mergeCells>
  <pageMargins left="0.75" right="0.75" top="1" bottom="1" header="0.5" footer="0.5"/>
  <pageSetup orientation="portrait" horizontalDpi="90" verticalDpi="90" r:id="rId1"/>
  <headerFooter>
    <oddHeader>&amp;L&amp;"Calibri"&amp;10&amp;K000000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0"/>
  <sheetViews>
    <sheetView workbookViewId="0">
      <selection activeCell="N16" sqref="N16"/>
    </sheetView>
  </sheetViews>
  <sheetFormatPr defaultRowHeight="15" x14ac:dyDescent="0.25"/>
  <sheetData>
    <row r="1" spans="1:5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25">
      <c r="B2">
        <v>369</v>
      </c>
      <c r="C2">
        <v>997500</v>
      </c>
    </row>
    <row r="3" spans="1:5" x14ac:dyDescent="0.25">
      <c r="A3" t="s">
        <v>85</v>
      </c>
      <c r="B3">
        <v>414</v>
      </c>
      <c r="C3">
        <v>1120000</v>
      </c>
      <c r="D3" t="s">
        <v>86</v>
      </c>
      <c r="E3" t="s">
        <v>87</v>
      </c>
    </row>
    <row r="4" spans="1:5" x14ac:dyDescent="0.25">
      <c r="A4" t="s">
        <v>88</v>
      </c>
      <c r="B4">
        <v>414</v>
      </c>
      <c r="C4">
        <v>1120000</v>
      </c>
      <c r="D4" t="s">
        <v>89</v>
      </c>
      <c r="E4" t="s">
        <v>90</v>
      </c>
    </row>
    <row r="5" spans="1:5" x14ac:dyDescent="0.25">
      <c r="A5" t="s">
        <v>91</v>
      </c>
      <c r="B5">
        <v>414</v>
      </c>
      <c r="C5">
        <v>1120000</v>
      </c>
      <c r="D5" t="s">
        <v>92</v>
      </c>
      <c r="E5" t="s">
        <v>93</v>
      </c>
    </row>
    <row r="6" spans="1:5" x14ac:dyDescent="0.25">
      <c r="A6" t="s">
        <v>94</v>
      </c>
      <c r="B6">
        <v>414</v>
      </c>
      <c r="C6">
        <v>1120000</v>
      </c>
      <c r="D6" t="s">
        <v>95</v>
      </c>
      <c r="E6" t="s">
        <v>96</v>
      </c>
    </row>
    <row r="7" spans="1:5" x14ac:dyDescent="0.25">
      <c r="A7" t="s">
        <v>97</v>
      </c>
      <c r="B7">
        <v>414</v>
      </c>
      <c r="C7">
        <v>1120000</v>
      </c>
      <c r="D7" t="s">
        <v>98</v>
      </c>
      <c r="E7" t="s">
        <v>99</v>
      </c>
    </row>
    <row r="8" spans="1:5" x14ac:dyDescent="0.25">
      <c r="A8" t="s">
        <v>100</v>
      </c>
      <c r="B8">
        <v>414</v>
      </c>
      <c r="C8">
        <v>1120000</v>
      </c>
      <c r="D8" t="s">
        <v>101</v>
      </c>
      <c r="E8" t="s">
        <v>102</v>
      </c>
    </row>
    <row r="9" spans="1:5" x14ac:dyDescent="0.25">
      <c r="A9" t="s">
        <v>103</v>
      </c>
      <c r="B9">
        <v>414</v>
      </c>
      <c r="C9">
        <v>1120000</v>
      </c>
      <c r="D9" t="s">
        <v>104</v>
      </c>
      <c r="E9" t="s">
        <v>105</v>
      </c>
    </row>
    <row r="10" spans="1:5" x14ac:dyDescent="0.25">
      <c r="A10" t="s">
        <v>106</v>
      </c>
      <c r="B10">
        <v>414</v>
      </c>
      <c r="C10">
        <v>1120000</v>
      </c>
      <c r="D10" t="s">
        <v>107</v>
      </c>
      <c r="E10" t="s">
        <v>108</v>
      </c>
    </row>
    <row r="11" spans="1:5" x14ac:dyDescent="0.25">
      <c r="A11" t="s">
        <v>109</v>
      </c>
      <c r="B11">
        <v>414</v>
      </c>
      <c r="C11">
        <v>1120000</v>
      </c>
      <c r="D11" t="s">
        <v>110</v>
      </c>
      <c r="E11" t="s">
        <v>111</v>
      </c>
    </row>
    <row r="12" spans="1:5" x14ac:dyDescent="0.25">
      <c r="A12" t="s">
        <v>112</v>
      </c>
      <c r="B12">
        <v>414</v>
      </c>
      <c r="C12">
        <v>1120000</v>
      </c>
      <c r="D12" t="s">
        <v>113</v>
      </c>
      <c r="E12" t="s">
        <v>114</v>
      </c>
    </row>
    <row r="13" spans="1:5" x14ac:dyDescent="0.25">
      <c r="A13" t="s">
        <v>115</v>
      </c>
      <c r="B13">
        <v>414</v>
      </c>
      <c r="C13">
        <v>1120000</v>
      </c>
      <c r="D13" t="s">
        <v>116</v>
      </c>
      <c r="E13" t="s">
        <v>117</v>
      </c>
    </row>
    <row r="14" spans="1:5" x14ac:dyDescent="0.25">
      <c r="A14" t="s">
        <v>118</v>
      </c>
      <c r="B14">
        <v>414</v>
      </c>
      <c r="C14">
        <v>1120000</v>
      </c>
      <c r="D14" t="s">
        <v>119</v>
      </c>
      <c r="E14" t="s">
        <v>120</v>
      </c>
    </row>
    <row r="15" spans="1:5" x14ac:dyDescent="0.25">
      <c r="A15" t="s">
        <v>121</v>
      </c>
      <c r="B15">
        <v>369</v>
      </c>
      <c r="C15">
        <v>997500</v>
      </c>
      <c r="D15" t="s">
        <v>122</v>
      </c>
      <c r="E15" t="s">
        <v>123</v>
      </c>
    </row>
    <row r="16" spans="1:5" x14ac:dyDescent="0.25">
      <c r="A16" t="s">
        <v>124</v>
      </c>
      <c r="B16">
        <v>414</v>
      </c>
      <c r="C16">
        <v>1120000</v>
      </c>
      <c r="D16" t="s">
        <v>125</v>
      </c>
      <c r="E16" t="s">
        <v>126</v>
      </c>
    </row>
    <row r="17" spans="1:5" x14ac:dyDescent="0.25">
      <c r="A17" t="s">
        <v>127</v>
      </c>
      <c r="B17">
        <v>414</v>
      </c>
      <c r="C17">
        <v>1120000</v>
      </c>
      <c r="D17" t="s">
        <v>128</v>
      </c>
      <c r="E17" t="s">
        <v>129</v>
      </c>
    </row>
    <row r="18" spans="1:5" x14ac:dyDescent="0.25">
      <c r="A18" t="s">
        <v>130</v>
      </c>
      <c r="B18">
        <v>-794</v>
      </c>
      <c r="C18">
        <v>-1921500</v>
      </c>
      <c r="D18" t="s">
        <v>131</v>
      </c>
      <c r="E18" t="s">
        <v>132</v>
      </c>
    </row>
    <row r="19" spans="1:5" x14ac:dyDescent="0.25">
      <c r="A19" t="s">
        <v>133</v>
      </c>
      <c r="B19">
        <v>414</v>
      </c>
      <c r="C19">
        <v>1120000</v>
      </c>
      <c r="D19" t="s">
        <v>134</v>
      </c>
      <c r="E19" t="s">
        <v>135</v>
      </c>
    </row>
    <row r="20" spans="1:5" x14ac:dyDescent="0.25">
      <c r="A20" t="s">
        <v>136</v>
      </c>
      <c r="B20">
        <v>414</v>
      </c>
      <c r="C20">
        <v>1120000</v>
      </c>
      <c r="D20" t="s">
        <v>137</v>
      </c>
      <c r="E20" t="s">
        <v>138</v>
      </c>
    </row>
    <row r="21" spans="1:5" x14ac:dyDescent="0.25">
      <c r="A21" t="s">
        <v>139</v>
      </c>
      <c r="B21">
        <v>-794</v>
      </c>
      <c r="C21">
        <v>-1921500</v>
      </c>
      <c r="D21" t="s">
        <v>140</v>
      </c>
      <c r="E21" t="s">
        <v>141</v>
      </c>
    </row>
    <row r="22" spans="1:5" x14ac:dyDescent="0.25">
      <c r="A22" t="s">
        <v>142</v>
      </c>
      <c r="B22">
        <v>414</v>
      </c>
      <c r="C22">
        <v>1120000</v>
      </c>
      <c r="D22" t="s">
        <v>143</v>
      </c>
      <c r="E22" t="s">
        <v>144</v>
      </c>
    </row>
    <row r="23" spans="1:5" x14ac:dyDescent="0.25">
      <c r="A23" t="s">
        <v>145</v>
      </c>
      <c r="B23">
        <v>369</v>
      </c>
      <c r="C23">
        <v>997500</v>
      </c>
      <c r="D23" t="s">
        <v>146</v>
      </c>
      <c r="E23" t="s">
        <v>147</v>
      </c>
    </row>
    <row r="24" spans="1:5" x14ac:dyDescent="0.25">
      <c r="A24" t="s">
        <v>148</v>
      </c>
      <c r="B24">
        <v>369</v>
      </c>
      <c r="C24">
        <v>997500</v>
      </c>
      <c r="D24" t="s">
        <v>149</v>
      </c>
      <c r="E24" t="s">
        <v>150</v>
      </c>
    </row>
    <row r="25" spans="1:5" x14ac:dyDescent="0.25">
      <c r="A25" t="s">
        <v>151</v>
      </c>
      <c r="B25">
        <v>414</v>
      </c>
      <c r="C25">
        <v>1120000</v>
      </c>
      <c r="D25" t="s">
        <v>152</v>
      </c>
      <c r="E25" t="s">
        <v>153</v>
      </c>
    </row>
    <row r="26" spans="1:5" x14ac:dyDescent="0.25">
      <c r="A26" t="s">
        <v>154</v>
      </c>
      <c r="B26">
        <v>414</v>
      </c>
      <c r="C26">
        <v>1120000</v>
      </c>
      <c r="D26" t="s">
        <v>155</v>
      </c>
      <c r="E26" t="s">
        <v>156</v>
      </c>
    </row>
    <row r="27" spans="1:5" x14ac:dyDescent="0.25">
      <c r="A27" t="s">
        <v>157</v>
      </c>
      <c r="B27">
        <v>414</v>
      </c>
      <c r="C27">
        <v>1120000</v>
      </c>
      <c r="D27" t="s">
        <v>158</v>
      </c>
      <c r="E27" t="s">
        <v>159</v>
      </c>
    </row>
    <row r="28" spans="1:5" x14ac:dyDescent="0.25">
      <c r="A28" t="s">
        <v>160</v>
      </c>
      <c r="B28">
        <v>414</v>
      </c>
      <c r="C28">
        <v>1120000</v>
      </c>
      <c r="D28" t="s">
        <v>161</v>
      </c>
      <c r="E28" t="s">
        <v>162</v>
      </c>
    </row>
    <row r="29" spans="1:5" x14ac:dyDescent="0.25">
      <c r="A29" t="s">
        <v>163</v>
      </c>
      <c r="B29">
        <v>414</v>
      </c>
      <c r="C29">
        <v>1120000</v>
      </c>
      <c r="D29" t="s">
        <v>164</v>
      </c>
      <c r="E29" t="s">
        <v>165</v>
      </c>
    </row>
    <row r="30" spans="1:5" x14ac:dyDescent="0.25">
      <c r="A30" t="s">
        <v>166</v>
      </c>
      <c r="B30">
        <v>414</v>
      </c>
      <c r="C30">
        <v>1120000</v>
      </c>
      <c r="D30" t="s">
        <v>167</v>
      </c>
      <c r="E30" t="s">
        <v>168</v>
      </c>
    </row>
    <row r="31" spans="1:5" x14ac:dyDescent="0.25">
      <c r="A31" t="s">
        <v>169</v>
      </c>
      <c r="B31">
        <v>414</v>
      </c>
      <c r="C31">
        <v>1120000</v>
      </c>
      <c r="D31" t="s">
        <v>170</v>
      </c>
      <c r="E31" t="s">
        <v>171</v>
      </c>
    </row>
    <row r="32" spans="1:5" x14ac:dyDescent="0.25">
      <c r="A32" t="s">
        <v>172</v>
      </c>
      <c r="B32">
        <v>414</v>
      </c>
      <c r="C32">
        <v>1120000</v>
      </c>
      <c r="D32" t="s">
        <v>173</v>
      </c>
      <c r="E32" t="s">
        <v>174</v>
      </c>
    </row>
    <row r="33" spans="1:5" x14ac:dyDescent="0.25">
      <c r="A33" t="s">
        <v>175</v>
      </c>
      <c r="B33">
        <v>414</v>
      </c>
      <c r="C33">
        <v>1120000</v>
      </c>
      <c r="D33" t="s">
        <v>176</v>
      </c>
      <c r="E33" t="s">
        <v>177</v>
      </c>
    </row>
    <row r="34" spans="1:5" x14ac:dyDescent="0.25">
      <c r="A34" t="s">
        <v>178</v>
      </c>
      <c r="B34">
        <v>414</v>
      </c>
      <c r="C34">
        <v>1120000</v>
      </c>
      <c r="D34" t="s">
        <v>179</v>
      </c>
      <c r="E34" t="s">
        <v>180</v>
      </c>
    </row>
    <row r="35" spans="1:5" x14ac:dyDescent="0.25">
      <c r="A35" t="s">
        <v>181</v>
      </c>
      <c r="B35">
        <v>414</v>
      </c>
      <c r="C35">
        <v>1120000</v>
      </c>
      <c r="D35" t="s">
        <v>182</v>
      </c>
      <c r="E35" t="s">
        <v>183</v>
      </c>
    </row>
    <row r="36" spans="1:5" x14ac:dyDescent="0.25">
      <c r="A36" t="s">
        <v>184</v>
      </c>
      <c r="B36">
        <v>414</v>
      </c>
      <c r="C36">
        <v>1120000</v>
      </c>
      <c r="D36" t="s">
        <v>185</v>
      </c>
      <c r="E36" t="s">
        <v>186</v>
      </c>
    </row>
    <row r="37" spans="1:5" x14ac:dyDescent="0.25">
      <c r="A37" t="s">
        <v>187</v>
      </c>
      <c r="B37">
        <v>414</v>
      </c>
      <c r="C37">
        <v>1120000</v>
      </c>
      <c r="D37" t="s">
        <v>188</v>
      </c>
      <c r="E37" t="s">
        <v>189</v>
      </c>
    </row>
    <row r="38" spans="1:5" x14ac:dyDescent="0.25">
      <c r="A38" t="s">
        <v>190</v>
      </c>
      <c r="B38">
        <v>414</v>
      </c>
      <c r="C38">
        <v>1120000</v>
      </c>
      <c r="D38" t="s">
        <v>191</v>
      </c>
      <c r="E38" t="s">
        <v>192</v>
      </c>
    </row>
    <row r="39" spans="1:5" x14ac:dyDescent="0.25">
      <c r="A39" t="s">
        <v>193</v>
      </c>
      <c r="B39">
        <v>414</v>
      </c>
      <c r="C39">
        <v>1120000</v>
      </c>
      <c r="D39" t="s">
        <v>194</v>
      </c>
      <c r="E39" t="s">
        <v>195</v>
      </c>
    </row>
    <row r="40" spans="1:5" x14ac:dyDescent="0.25">
      <c r="A40" t="s">
        <v>196</v>
      </c>
      <c r="B40">
        <v>414</v>
      </c>
      <c r="C40">
        <v>1120000</v>
      </c>
      <c r="D40" t="s">
        <v>197</v>
      </c>
      <c r="E40" t="s">
        <v>198</v>
      </c>
    </row>
    <row r="41" spans="1:5" x14ac:dyDescent="0.25">
      <c r="A41" t="s">
        <v>199</v>
      </c>
      <c r="B41">
        <v>414</v>
      </c>
      <c r="C41">
        <v>1120000</v>
      </c>
      <c r="D41" t="s">
        <v>200</v>
      </c>
      <c r="E41" t="s">
        <v>201</v>
      </c>
    </row>
    <row r="42" spans="1:5" x14ac:dyDescent="0.25">
      <c r="A42" t="s">
        <v>202</v>
      </c>
      <c r="B42">
        <v>414</v>
      </c>
      <c r="C42">
        <v>1120000</v>
      </c>
      <c r="D42" t="s">
        <v>203</v>
      </c>
      <c r="E42" t="s">
        <v>204</v>
      </c>
    </row>
    <row r="43" spans="1:5" x14ac:dyDescent="0.25">
      <c r="A43" t="s">
        <v>205</v>
      </c>
      <c r="B43">
        <v>414</v>
      </c>
      <c r="C43">
        <v>1120000</v>
      </c>
      <c r="D43" t="s">
        <v>206</v>
      </c>
      <c r="E43" t="s">
        <v>207</v>
      </c>
    </row>
    <row r="44" spans="1:5" x14ac:dyDescent="0.25">
      <c r="A44" t="s">
        <v>208</v>
      </c>
      <c r="B44">
        <v>414</v>
      </c>
      <c r="C44">
        <v>1120000</v>
      </c>
      <c r="D44" t="s">
        <v>209</v>
      </c>
      <c r="E44" t="s">
        <v>210</v>
      </c>
    </row>
    <row r="45" spans="1:5" x14ac:dyDescent="0.25">
      <c r="A45" t="s">
        <v>211</v>
      </c>
      <c r="B45">
        <v>414</v>
      </c>
      <c r="C45">
        <v>1120000</v>
      </c>
      <c r="D45" t="s">
        <v>212</v>
      </c>
      <c r="E45" t="s">
        <v>213</v>
      </c>
    </row>
    <row r="46" spans="1:5" x14ac:dyDescent="0.25">
      <c r="A46" t="s">
        <v>214</v>
      </c>
      <c r="B46">
        <v>-794</v>
      </c>
      <c r="C46">
        <v>-1921500</v>
      </c>
      <c r="D46" t="s">
        <v>215</v>
      </c>
      <c r="E46" t="s">
        <v>216</v>
      </c>
    </row>
    <row r="47" spans="1:5" x14ac:dyDescent="0.25">
      <c r="A47" t="s">
        <v>217</v>
      </c>
      <c r="B47">
        <v>414</v>
      </c>
      <c r="C47">
        <v>1120000</v>
      </c>
      <c r="D47" t="s">
        <v>218</v>
      </c>
      <c r="E47" t="s">
        <v>219</v>
      </c>
    </row>
    <row r="48" spans="1:5" x14ac:dyDescent="0.25">
      <c r="A48" t="s">
        <v>220</v>
      </c>
      <c r="B48">
        <v>414</v>
      </c>
      <c r="C48">
        <v>1120000</v>
      </c>
      <c r="D48" t="s">
        <v>221</v>
      </c>
      <c r="E48" t="s">
        <v>222</v>
      </c>
    </row>
    <row r="49" spans="1:5" x14ac:dyDescent="0.25">
      <c r="A49" t="s">
        <v>223</v>
      </c>
      <c r="B49">
        <v>414</v>
      </c>
      <c r="C49">
        <v>1120000</v>
      </c>
      <c r="D49" t="s">
        <v>224</v>
      </c>
      <c r="E49" t="s">
        <v>225</v>
      </c>
    </row>
    <row r="50" spans="1:5" x14ac:dyDescent="0.25">
      <c r="A50" t="s">
        <v>226</v>
      </c>
      <c r="B50">
        <v>414</v>
      </c>
      <c r="C50">
        <v>1120000</v>
      </c>
      <c r="D50" t="s">
        <v>227</v>
      </c>
      <c r="E50" t="s">
        <v>228</v>
      </c>
    </row>
    <row r="51" spans="1:5" x14ac:dyDescent="0.25">
      <c r="A51" t="s">
        <v>229</v>
      </c>
      <c r="B51">
        <v>414</v>
      </c>
      <c r="C51">
        <v>1120000</v>
      </c>
      <c r="D51" t="s">
        <v>230</v>
      </c>
      <c r="E51" t="s">
        <v>231</v>
      </c>
    </row>
    <row r="52" spans="1:5" x14ac:dyDescent="0.25">
      <c r="A52" t="s">
        <v>232</v>
      </c>
      <c r="B52">
        <v>414</v>
      </c>
      <c r="C52">
        <v>1120000</v>
      </c>
      <c r="D52" t="s">
        <v>233</v>
      </c>
      <c r="E52" t="s">
        <v>234</v>
      </c>
    </row>
    <row r="53" spans="1:5" x14ac:dyDescent="0.25">
      <c r="A53" t="s">
        <v>235</v>
      </c>
      <c r="B53">
        <v>414</v>
      </c>
      <c r="C53">
        <v>1120000</v>
      </c>
      <c r="D53" t="s">
        <v>236</v>
      </c>
      <c r="E53" t="s">
        <v>237</v>
      </c>
    </row>
    <row r="54" spans="1:5" x14ac:dyDescent="0.25">
      <c r="A54" t="s">
        <v>238</v>
      </c>
      <c r="B54">
        <v>414</v>
      </c>
      <c r="C54">
        <v>1120000</v>
      </c>
      <c r="D54" t="s">
        <v>239</v>
      </c>
      <c r="E54" t="s">
        <v>240</v>
      </c>
    </row>
    <row r="55" spans="1:5" x14ac:dyDescent="0.25">
      <c r="A55" t="s">
        <v>241</v>
      </c>
      <c r="B55">
        <v>-794</v>
      </c>
      <c r="C55">
        <v>-1921500</v>
      </c>
      <c r="D55" t="s">
        <v>242</v>
      </c>
      <c r="E55" t="s">
        <v>243</v>
      </c>
    </row>
    <row r="56" spans="1:5" x14ac:dyDescent="0.25">
      <c r="A56" t="s">
        <v>244</v>
      </c>
      <c r="B56">
        <v>414</v>
      </c>
      <c r="C56">
        <v>1120000</v>
      </c>
      <c r="D56" t="s">
        <v>245</v>
      </c>
      <c r="E56" t="s">
        <v>246</v>
      </c>
    </row>
    <row r="57" spans="1:5" x14ac:dyDescent="0.25">
      <c r="A57" t="s">
        <v>247</v>
      </c>
      <c r="B57">
        <v>414</v>
      </c>
      <c r="C57">
        <v>1120000</v>
      </c>
      <c r="D57" t="s">
        <v>248</v>
      </c>
      <c r="E57" t="s">
        <v>249</v>
      </c>
    </row>
    <row r="58" spans="1:5" x14ac:dyDescent="0.25">
      <c r="A58" t="s">
        <v>250</v>
      </c>
      <c r="B58">
        <v>414</v>
      </c>
      <c r="C58">
        <v>1120000</v>
      </c>
      <c r="D58" t="s">
        <v>251</v>
      </c>
      <c r="E58" t="s">
        <v>252</v>
      </c>
    </row>
    <row r="59" spans="1:5" x14ac:dyDescent="0.25">
      <c r="A59" t="s">
        <v>253</v>
      </c>
      <c r="B59">
        <v>414</v>
      </c>
      <c r="C59">
        <v>1120000</v>
      </c>
      <c r="D59" t="s">
        <v>254</v>
      </c>
      <c r="E59" t="s">
        <v>255</v>
      </c>
    </row>
    <row r="60" spans="1:5" x14ac:dyDescent="0.25">
      <c r="A60" t="s">
        <v>256</v>
      </c>
      <c r="B60">
        <v>414</v>
      </c>
      <c r="C60">
        <v>1120000</v>
      </c>
      <c r="D60" t="s">
        <v>257</v>
      </c>
      <c r="E60" t="s">
        <v>258</v>
      </c>
    </row>
    <row r="61" spans="1:5" x14ac:dyDescent="0.25">
      <c r="A61" t="s">
        <v>259</v>
      </c>
      <c r="B61">
        <v>-794</v>
      </c>
      <c r="C61">
        <v>-1921500</v>
      </c>
      <c r="D61" t="s">
        <v>260</v>
      </c>
      <c r="E61" t="s">
        <v>261</v>
      </c>
    </row>
    <row r="62" spans="1:5" x14ac:dyDescent="0.25">
      <c r="A62" t="s">
        <v>262</v>
      </c>
      <c r="B62">
        <v>414</v>
      </c>
      <c r="C62">
        <v>1120000</v>
      </c>
      <c r="D62" t="s">
        <v>263</v>
      </c>
      <c r="E62" t="s">
        <v>264</v>
      </c>
    </row>
    <row r="63" spans="1:5" x14ac:dyDescent="0.25">
      <c r="A63" t="s">
        <v>265</v>
      </c>
      <c r="B63">
        <v>-794</v>
      </c>
      <c r="C63">
        <v>-1921500</v>
      </c>
      <c r="D63" t="s">
        <v>266</v>
      </c>
      <c r="E63" t="s">
        <v>267</v>
      </c>
    </row>
    <row r="64" spans="1:5" x14ac:dyDescent="0.25">
      <c r="A64" t="s">
        <v>268</v>
      </c>
      <c r="B64">
        <v>-794</v>
      </c>
      <c r="C64">
        <v>-1921500</v>
      </c>
      <c r="D64" t="s">
        <v>269</v>
      </c>
      <c r="E64" t="s">
        <v>270</v>
      </c>
    </row>
    <row r="65" spans="1:5" x14ac:dyDescent="0.25">
      <c r="A65" t="s">
        <v>271</v>
      </c>
      <c r="B65">
        <v>-714</v>
      </c>
      <c r="C65">
        <v>-1702500</v>
      </c>
      <c r="D65" t="s">
        <v>272</v>
      </c>
      <c r="E65" t="s">
        <v>273</v>
      </c>
    </row>
    <row r="66" spans="1:5" x14ac:dyDescent="0.25">
      <c r="A66" t="s">
        <v>274</v>
      </c>
      <c r="B66">
        <v>369</v>
      </c>
      <c r="C66">
        <v>997500</v>
      </c>
      <c r="D66" t="s">
        <v>275</v>
      </c>
      <c r="E66" t="s">
        <v>276</v>
      </c>
    </row>
    <row r="67" spans="1:5" x14ac:dyDescent="0.25">
      <c r="A67" t="s">
        <v>277</v>
      </c>
      <c r="B67">
        <v>414</v>
      </c>
      <c r="C67">
        <v>1120000</v>
      </c>
      <c r="D67" t="s">
        <v>278</v>
      </c>
      <c r="E67" t="s">
        <v>279</v>
      </c>
    </row>
    <row r="68" spans="1:5" x14ac:dyDescent="0.25">
      <c r="A68" t="s">
        <v>280</v>
      </c>
      <c r="B68">
        <v>414</v>
      </c>
      <c r="C68">
        <v>1120000</v>
      </c>
      <c r="D68" t="s">
        <v>281</v>
      </c>
      <c r="E68" t="s">
        <v>282</v>
      </c>
    </row>
    <row r="69" spans="1:5" x14ac:dyDescent="0.25">
      <c r="A69" t="s">
        <v>283</v>
      </c>
      <c r="B69">
        <v>414</v>
      </c>
      <c r="C69">
        <v>1120000</v>
      </c>
      <c r="D69" t="s">
        <v>284</v>
      </c>
      <c r="E69" t="s">
        <v>285</v>
      </c>
    </row>
    <row r="70" spans="1:5" x14ac:dyDescent="0.25">
      <c r="A70" t="s">
        <v>286</v>
      </c>
      <c r="B70">
        <v>414</v>
      </c>
      <c r="C70">
        <v>1120000</v>
      </c>
      <c r="D70" t="s">
        <v>287</v>
      </c>
      <c r="E70" t="s">
        <v>288</v>
      </c>
    </row>
    <row r="71" spans="1:5" x14ac:dyDescent="0.25">
      <c r="A71" t="s">
        <v>289</v>
      </c>
      <c r="B71">
        <v>414</v>
      </c>
      <c r="C71">
        <v>1120000</v>
      </c>
      <c r="D71" t="s">
        <v>290</v>
      </c>
      <c r="E71" t="s">
        <v>291</v>
      </c>
    </row>
    <row r="72" spans="1:5" x14ac:dyDescent="0.25">
      <c r="A72" t="s">
        <v>292</v>
      </c>
      <c r="B72">
        <v>414</v>
      </c>
      <c r="C72">
        <v>1120000</v>
      </c>
      <c r="D72" t="s">
        <v>293</v>
      </c>
      <c r="E72" t="s">
        <v>294</v>
      </c>
    </row>
    <row r="73" spans="1:5" x14ac:dyDescent="0.25">
      <c r="A73" t="s">
        <v>295</v>
      </c>
      <c r="B73">
        <v>-794</v>
      </c>
      <c r="C73">
        <v>-1921500</v>
      </c>
      <c r="D73" t="s">
        <v>296</v>
      </c>
      <c r="E73" t="s">
        <v>297</v>
      </c>
    </row>
    <row r="74" spans="1:5" x14ac:dyDescent="0.25">
      <c r="A74" t="s">
        <v>298</v>
      </c>
      <c r="B74">
        <v>-794</v>
      </c>
      <c r="C74">
        <v>-1921500</v>
      </c>
      <c r="D74" t="s">
        <v>299</v>
      </c>
      <c r="E74" t="s">
        <v>300</v>
      </c>
    </row>
    <row r="75" spans="1:5" x14ac:dyDescent="0.25">
      <c r="A75" t="s">
        <v>301</v>
      </c>
      <c r="B75">
        <v>414</v>
      </c>
      <c r="C75">
        <v>1120000</v>
      </c>
      <c r="D75" t="s">
        <v>302</v>
      </c>
      <c r="E75" t="s">
        <v>303</v>
      </c>
    </row>
    <row r="76" spans="1:5" x14ac:dyDescent="0.25">
      <c r="A76" t="s">
        <v>304</v>
      </c>
      <c r="B76">
        <v>-81</v>
      </c>
      <c r="C76">
        <v>-219000</v>
      </c>
      <c r="D76" t="s">
        <v>305</v>
      </c>
      <c r="E76" t="s">
        <v>306</v>
      </c>
    </row>
    <row r="77" spans="1:5" x14ac:dyDescent="0.25">
      <c r="A77" t="s">
        <v>307</v>
      </c>
      <c r="B77">
        <v>414</v>
      </c>
      <c r="C77">
        <v>1120000</v>
      </c>
      <c r="D77" t="s">
        <v>308</v>
      </c>
      <c r="E77" t="s">
        <v>309</v>
      </c>
    </row>
    <row r="78" spans="1:5" x14ac:dyDescent="0.25">
      <c r="A78" t="s">
        <v>310</v>
      </c>
      <c r="B78">
        <v>414</v>
      </c>
      <c r="C78">
        <v>1120000</v>
      </c>
      <c r="D78" t="s">
        <v>311</v>
      </c>
      <c r="E78" t="s">
        <v>312</v>
      </c>
    </row>
    <row r="79" spans="1:5" x14ac:dyDescent="0.25">
      <c r="A79" t="s">
        <v>313</v>
      </c>
      <c r="B79">
        <v>414</v>
      </c>
      <c r="C79">
        <v>1120000</v>
      </c>
      <c r="D79" t="s">
        <v>314</v>
      </c>
      <c r="E79" t="s">
        <v>315</v>
      </c>
    </row>
    <row r="80" spans="1:5" x14ac:dyDescent="0.25">
      <c r="A80" t="s">
        <v>316</v>
      </c>
      <c r="B80">
        <v>414</v>
      </c>
      <c r="C80">
        <v>1120000</v>
      </c>
      <c r="D80" t="s">
        <v>317</v>
      </c>
      <c r="E80" t="s">
        <v>318</v>
      </c>
    </row>
    <row r="81" spans="1:5" x14ac:dyDescent="0.25">
      <c r="A81" t="s">
        <v>319</v>
      </c>
      <c r="B81">
        <v>414</v>
      </c>
      <c r="C81">
        <v>1120000</v>
      </c>
      <c r="D81" t="s">
        <v>320</v>
      </c>
      <c r="E81" t="s">
        <v>321</v>
      </c>
    </row>
    <row r="82" spans="1:5" x14ac:dyDescent="0.25">
      <c r="A82" t="s">
        <v>322</v>
      </c>
      <c r="B82">
        <v>414</v>
      </c>
      <c r="C82">
        <v>1120000</v>
      </c>
      <c r="D82" t="s">
        <v>323</v>
      </c>
      <c r="E82" t="s">
        <v>324</v>
      </c>
    </row>
    <row r="83" spans="1:5" x14ac:dyDescent="0.25">
      <c r="A83" t="s">
        <v>325</v>
      </c>
      <c r="B83">
        <v>414</v>
      </c>
      <c r="C83">
        <v>1120000</v>
      </c>
      <c r="D83" t="s">
        <v>326</v>
      </c>
      <c r="E83" t="s">
        <v>327</v>
      </c>
    </row>
    <row r="84" spans="1:5" x14ac:dyDescent="0.25">
      <c r="A84" t="s">
        <v>328</v>
      </c>
      <c r="B84">
        <v>414</v>
      </c>
      <c r="C84">
        <v>1120000</v>
      </c>
      <c r="D84" t="s">
        <v>329</v>
      </c>
      <c r="E84" t="s">
        <v>330</v>
      </c>
    </row>
    <row r="85" spans="1:5" x14ac:dyDescent="0.25">
      <c r="A85" t="s">
        <v>331</v>
      </c>
      <c r="B85">
        <v>414</v>
      </c>
      <c r="C85">
        <v>1120000</v>
      </c>
      <c r="D85" t="s">
        <v>332</v>
      </c>
      <c r="E85" t="s">
        <v>333</v>
      </c>
    </row>
    <row r="86" spans="1:5" x14ac:dyDescent="0.25">
      <c r="A86" t="s">
        <v>334</v>
      </c>
      <c r="B86">
        <v>-794</v>
      </c>
      <c r="C86">
        <v>-1921500</v>
      </c>
      <c r="D86" t="s">
        <v>335</v>
      </c>
      <c r="E86" t="s">
        <v>336</v>
      </c>
    </row>
    <row r="87" spans="1:5" x14ac:dyDescent="0.25">
      <c r="A87" t="s">
        <v>337</v>
      </c>
      <c r="B87">
        <v>414</v>
      </c>
      <c r="C87">
        <v>1120000</v>
      </c>
      <c r="D87" t="s">
        <v>338</v>
      </c>
      <c r="E87" t="s">
        <v>339</v>
      </c>
    </row>
    <row r="88" spans="1:5" x14ac:dyDescent="0.25">
      <c r="A88" t="s">
        <v>340</v>
      </c>
      <c r="B88">
        <v>414</v>
      </c>
      <c r="C88">
        <v>1120000</v>
      </c>
      <c r="D88" t="s">
        <v>341</v>
      </c>
      <c r="E88" t="s">
        <v>342</v>
      </c>
    </row>
    <row r="89" spans="1:5" x14ac:dyDescent="0.25">
      <c r="A89" t="s">
        <v>343</v>
      </c>
      <c r="B89">
        <v>414</v>
      </c>
      <c r="C89">
        <v>1120000</v>
      </c>
      <c r="D89" t="s">
        <v>344</v>
      </c>
      <c r="E89" t="s">
        <v>345</v>
      </c>
    </row>
    <row r="90" spans="1:5" x14ac:dyDescent="0.25">
      <c r="A90" t="s">
        <v>346</v>
      </c>
      <c r="B90">
        <v>414</v>
      </c>
      <c r="C90">
        <v>1120000</v>
      </c>
      <c r="D90" t="s">
        <v>347</v>
      </c>
      <c r="E90" t="s">
        <v>348</v>
      </c>
    </row>
    <row r="91" spans="1:5" x14ac:dyDescent="0.25">
      <c r="A91" t="s">
        <v>349</v>
      </c>
      <c r="B91">
        <v>414</v>
      </c>
      <c r="C91">
        <v>1120000</v>
      </c>
      <c r="D91" t="s">
        <v>350</v>
      </c>
      <c r="E91" t="s">
        <v>351</v>
      </c>
    </row>
    <row r="92" spans="1:5" x14ac:dyDescent="0.25">
      <c r="A92" t="s">
        <v>352</v>
      </c>
      <c r="B92">
        <v>-794</v>
      </c>
      <c r="C92">
        <v>-1921500</v>
      </c>
      <c r="E92" t="s">
        <v>353</v>
      </c>
    </row>
    <row r="93" spans="1:5" x14ac:dyDescent="0.25">
      <c r="A93" t="s">
        <v>354</v>
      </c>
      <c r="B93">
        <v>414</v>
      </c>
      <c r="C93">
        <v>1120000</v>
      </c>
      <c r="D93" t="s">
        <v>355</v>
      </c>
      <c r="E93" t="s">
        <v>356</v>
      </c>
    </row>
    <row r="94" spans="1:5" x14ac:dyDescent="0.25">
      <c r="A94" t="s">
        <v>357</v>
      </c>
      <c r="B94">
        <v>414</v>
      </c>
      <c r="C94">
        <v>1120000</v>
      </c>
      <c r="D94" t="s">
        <v>358</v>
      </c>
      <c r="E94" t="s">
        <v>359</v>
      </c>
    </row>
    <row r="95" spans="1:5" x14ac:dyDescent="0.25">
      <c r="A95" t="s">
        <v>360</v>
      </c>
      <c r="B95">
        <v>414</v>
      </c>
      <c r="C95">
        <v>1120000</v>
      </c>
      <c r="D95" t="s">
        <v>361</v>
      </c>
      <c r="E95" t="s">
        <v>362</v>
      </c>
    </row>
    <row r="96" spans="1:5" x14ac:dyDescent="0.25">
      <c r="A96" t="s">
        <v>363</v>
      </c>
      <c r="B96">
        <v>414</v>
      </c>
      <c r="C96">
        <v>1120000</v>
      </c>
      <c r="D96" t="s">
        <v>364</v>
      </c>
      <c r="E96" t="s">
        <v>365</v>
      </c>
    </row>
    <row r="97" spans="1:5" x14ac:dyDescent="0.25">
      <c r="A97" t="s">
        <v>366</v>
      </c>
      <c r="B97">
        <v>414</v>
      </c>
      <c r="C97">
        <v>1120000</v>
      </c>
      <c r="D97" t="s">
        <v>367</v>
      </c>
      <c r="E97" t="s">
        <v>368</v>
      </c>
    </row>
    <row r="98" spans="1:5" x14ac:dyDescent="0.25">
      <c r="A98" t="s">
        <v>369</v>
      </c>
      <c r="B98">
        <v>414</v>
      </c>
      <c r="C98">
        <v>1120000</v>
      </c>
      <c r="D98" t="s">
        <v>370</v>
      </c>
      <c r="E98" t="s">
        <v>371</v>
      </c>
    </row>
    <row r="99" spans="1:5" x14ac:dyDescent="0.25">
      <c r="A99" t="s">
        <v>372</v>
      </c>
      <c r="B99">
        <v>414</v>
      </c>
      <c r="C99">
        <v>1120000</v>
      </c>
      <c r="D99" t="s">
        <v>373</v>
      </c>
      <c r="E99" t="s">
        <v>374</v>
      </c>
    </row>
    <row r="100" spans="1:5" x14ac:dyDescent="0.25">
      <c r="A100" t="s">
        <v>375</v>
      </c>
      <c r="B100">
        <v>414</v>
      </c>
      <c r="C100">
        <v>1120000</v>
      </c>
      <c r="D100" t="s">
        <v>376</v>
      </c>
      <c r="E100" t="s">
        <v>377</v>
      </c>
    </row>
    <row r="101" spans="1:5" x14ac:dyDescent="0.25">
      <c r="A101" t="s">
        <v>378</v>
      </c>
      <c r="B101">
        <v>369</v>
      </c>
      <c r="C101">
        <v>997500</v>
      </c>
      <c r="D101" t="s">
        <v>379</v>
      </c>
      <c r="E101" t="s">
        <v>380</v>
      </c>
    </row>
    <row r="102" spans="1:5" x14ac:dyDescent="0.25">
      <c r="A102" t="s">
        <v>381</v>
      </c>
      <c r="B102">
        <v>414</v>
      </c>
      <c r="C102">
        <v>1120000</v>
      </c>
      <c r="D102" t="s">
        <v>382</v>
      </c>
      <c r="E102" t="s">
        <v>383</v>
      </c>
    </row>
    <row r="103" spans="1:5" x14ac:dyDescent="0.25">
      <c r="A103" t="s">
        <v>384</v>
      </c>
      <c r="B103">
        <v>414</v>
      </c>
      <c r="C103">
        <v>1120000</v>
      </c>
      <c r="D103" t="s">
        <v>385</v>
      </c>
      <c r="E103" t="s">
        <v>386</v>
      </c>
    </row>
    <row r="104" spans="1:5" x14ac:dyDescent="0.25">
      <c r="A104" t="s">
        <v>387</v>
      </c>
      <c r="B104">
        <v>-794</v>
      </c>
      <c r="C104">
        <v>-1921500</v>
      </c>
      <c r="D104" t="s">
        <v>388</v>
      </c>
      <c r="E104" t="s">
        <v>389</v>
      </c>
    </row>
    <row r="105" spans="1:5" x14ac:dyDescent="0.25">
      <c r="A105" t="s">
        <v>390</v>
      </c>
      <c r="B105">
        <v>414</v>
      </c>
      <c r="C105">
        <v>1120000</v>
      </c>
      <c r="D105" t="s">
        <v>391</v>
      </c>
      <c r="E105" t="s">
        <v>392</v>
      </c>
    </row>
    <row r="106" spans="1:5" x14ac:dyDescent="0.25">
      <c r="A106" t="s">
        <v>393</v>
      </c>
      <c r="B106">
        <v>414</v>
      </c>
      <c r="C106">
        <v>1120000</v>
      </c>
      <c r="D106" t="s">
        <v>394</v>
      </c>
      <c r="E106" t="s">
        <v>395</v>
      </c>
    </row>
    <row r="107" spans="1:5" x14ac:dyDescent="0.25">
      <c r="A107" t="s">
        <v>396</v>
      </c>
      <c r="B107">
        <v>414</v>
      </c>
      <c r="C107">
        <v>1120000</v>
      </c>
      <c r="D107" t="s">
        <v>397</v>
      </c>
      <c r="E107" t="s">
        <v>398</v>
      </c>
    </row>
    <row r="108" spans="1:5" x14ac:dyDescent="0.25">
      <c r="A108" t="s">
        <v>399</v>
      </c>
      <c r="B108">
        <v>414</v>
      </c>
      <c r="C108">
        <v>1120000</v>
      </c>
      <c r="D108" t="s">
        <v>400</v>
      </c>
      <c r="E108" t="s">
        <v>401</v>
      </c>
    </row>
    <row r="109" spans="1:5" x14ac:dyDescent="0.25">
      <c r="A109" t="s">
        <v>402</v>
      </c>
      <c r="B109">
        <v>414</v>
      </c>
      <c r="C109">
        <v>1120000</v>
      </c>
      <c r="D109" t="s">
        <v>403</v>
      </c>
      <c r="E109" t="s">
        <v>404</v>
      </c>
    </row>
    <row r="110" spans="1:5" x14ac:dyDescent="0.25">
      <c r="A110" t="s">
        <v>405</v>
      </c>
      <c r="B110">
        <v>414</v>
      </c>
      <c r="C110">
        <v>1120000</v>
      </c>
      <c r="D110" t="s">
        <v>406</v>
      </c>
      <c r="E110" t="s">
        <v>407</v>
      </c>
    </row>
    <row r="111" spans="1:5" x14ac:dyDescent="0.25">
      <c r="A111" t="s">
        <v>408</v>
      </c>
      <c r="B111">
        <v>414</v>
      </c>
      <c r="C111">
        <v>1120000</v>
      </c>
      <c r="D111" t="s">
        <v>409</v>
      </c>
      <c r="E111" t="s">
        <v>410</v>
      </c>
    </row>
    <row r="112" spans="1:5" x14ac:dyDescent="0.25">
      <c r="A112" t="s">
        <v>411</v>
      </c>
      <c r="B112">
        <v>414</v>
      </c>
      <c r="C112">
        <v>1120000</v>
      </c>
      <c r="D112" t="s">
        <v>412</v>
      </c>
      <c r="E112" t="s">
        <v>413</v>
      </c>
    </row>
    <row r="113" spans="1:5" x14ac:dyDescent="0.25">
      <c r="A113" t="s">
        <v>414</v>
      </c>
      <c r="B113">
        <v>414</v>
      </c>
      <c r="C113">
        <v>1120000</v>
      </c>
      <c r="D113" t="s">
        <v>415</v>
      </c>
      <c r="E113" t="s">
        <v>416</v>
      </c>
    </row>
    <row r="114" spans="1:5" x14ac:dyDescent="0.25">
      <c r="A114" t="s">
        <v>417</v>
      </c>
      <c r="B114">
        <v>414</v>
      </c>
      <c r="C114">
        <v>1120000</v>
      </c>
      <c r="D114" t="s">
        <v>418</v>
      </c>
      <c r="E114" t="s">
        <v>419</v>
      </c>
    </row>
    <row r="115" spans="1:5" x14ac:dyDescent="0.25">
      <c r="A115" t="s">
        <v>420</v>
      </c>
      <c r="B115">
        <v>414</v>
      </c>
      <c r="C115">
        <v>1120000</v>
      </c>
      <c r="D115" t="s">
        <v>421</v>
      </c>
      <c r="E115" t="s">
        <v>422</v>
      </c>
    </row>
    <row r="116" spans="1:5" x14ac:dyDescent="0.25">
      <c r="A116" t="s">
        <v>423</v>
      </c>
      <c r="B116">
        <v>-794</v>
      </c>
      <c r="C116">
        <v>-1921500</v>
      </c>
      <c r="D116" t="s">
        <v>424</v>
      </c>
      <c r="E116" t="s">
        <v>425</v>
      </c>
    </row>
    <row r="117" spans="1:5" x14ac:dyDescent="0.25">
      <c r="A117" t="s">
        <v>426</v>
      </c>
      <c r="B117">
        <v>414</v>
      </c>
      <c r="C117">
        <v>1120000</v>
      </c>
      <c r="D117" t="s">
        <v>427</v>
      </c>
      <c r="E117" t="s">
        <v>428</v>
      </c>
    </row>
    <row r="118" spans="1:5" x14ac:dyDescent="0.25">
      <c r="A118" t="s">
        <v>429</v>
      </c>
      <c r="B118">
        <v>414</v>
      </c>
      <c r="C118">
        <v>1120000</v>
      </c>
      <c r="D118" t="s">
        <v>430</v>
      </c>
      <c r="E118" t="s">
        <v>431</v>
      </c>
    </row>
    <row r="119" spans="1:5" x14ac:dyDescent="0.25">
      <c r="A119" t="s">
        <v>432</v>
      </c>
      <c r="B119">
        <v>369</v>
      </c>
      <c r="C119">
        <v>997500</v>
      </c>
      <c r="D119" t="s">
        <v>433</v>
      </c>
      <c r="E119" t="s">
        <v>434</v>
      </c>
    </row>
    <row r="120" spans="1:5" x14ac:dyDescent="0.25">
      <c r="A120" t="s">
        <v>435</v>
      </c>
      <c r="B120">
        <v>414</v>
      </c>
      <c r="C120">
        <v>1120000</v>
      </c>
      <c r="D120" t="s">
        <v>436</v>
      </c>
      <c r="E120" t="s">
        <v>437</v>
      </c>
    </row>
    <row r="121" spans="1:5" x14ac:dyDescent="0.25">
      <c r="A121" t="s">
        <v>438</v>
      </c>
      <c r="B121">
        <v>414</v>
      </c>
      <c r="C121">
        <v>1120000</v>
      </c>
      <c r="D121" t="s">
        <v>439</v>
      </c>
      <c r="E121" t="s">
        <v>440</v>
      </c>
    </row>
    <row r="122" spans="1:5" x14ac:dyDescent="0.25">
      <c r="A122" t="s">
        <v>441</v>
      </c>
      <c r="B122">
        <v>414</v>
      </c>
      <c r="C122">
        <v>1120000</v>
      </c>
      <c r="D122" t="s">
        <v>442</v>
      </c>
      <c r="E122" t="s">
        <v>443</v>
      </c>
    </row>
    <row r="123" spans="1:5" x14ac:dyDescent="0.25">
      <c r="A123" t="s">
        <v>444</v>
      </c>
      <c r="B123">
        <v>-794</v>
      </c>
      <c r="C123">
        <v>-1921500</v>
      </c>
      <c r="D123" t="s">
        <v>445</v>
      </c>
      <c r="E123" t="s">
        <v>446</v>
      </c>
    </row>
    <row r="124" spans="1:5" x14ac:dyDescent="0.25">
      <c r="A124" t="s">
        <v>447</v>
      </c>
      <c r="B124">
        <v>414</v>
      </c>
      <c r="C124">
        <v>1120000</v>
      </c>
      <c r="D124" t="s">
        <v>448</v>
      </c>
      <c r="E124" t="s">
        <v>449</v>
      </c>
    </row>
    <row r="125" spans="1:5" x14ac:dyDescent="0.25">
      <c r="A125" t="s">
        <v>450</v>
      </c>
      <c r="B125">
        <v>-794</v>
      </c>
      <c r="C125">
        <v>-1921500</v>
      </c>
      <c r="D125" t="s">
        <v>451</v>
      </c>
      <c r="E125" t="s">
        <v>452</v>
      </c>
    </row>
    <row r="126" spans="1:5" x14ac:dyDescent="0.25">
      <c r="A126" t="s">
        <v>453</v>
      </c>
      <c r="B126">
        <v>414</v>
      </c>
      <c r="C126">
        <v>1120000</v>
      </c>
      <c r="D126" t="s">
        <v>454</v>
      </c>
      <c r="E126" t="s">
        <v>455</v>
      </c>
    </row>
    <row r="127" spans="1:5" x14ac:dyDescent="0.25">
      <c r="A127" t="s">
        <v>456</v>
      </c>
      <c r="B127">
        <v>414</v>
      </c>
      <c r="C127">
        <v>1120000</v>
      </c>
      <c r="D127" t="s">
        <v>457</v>
      </c>
      <c r="E127" t="s">
        <v>458</v>
      </c>
    </row>
    <row r="128" spans="1:5" x14ac:dyDescent="0.25">
      <c r="A128" t="s">
        <v>459</v>
      </c>
      <c r="B128">
        <v>414</v>
      </c>
      <c r="C128">
        <v>1120000</v>
      </c>
      <c r="D128" t="s">
        <v>460</v>
      </c>
      <c r="E128" t="s">
        <v>461</v>
      </c>
    </row>
    <row r="129" spans="1:5" x14ac:dyDescent="0.25">
      <c r="A129" t="s">
        <v>462</v>
      </c>
      <c r="B129">
        <v>414</v>
      </c>
      <c r="C129">
        <v>1120000</v>
      </c>
      <c r="D129" t="s">
        <v>463</v>
      </c>
      <c r="E129" t="s">
        <v>464</v>
      </c>
    </row>
    <row r="130" spans="1:5" x14ac:dyDescent="0.25">
      <c r="A130" t="s">
        <v>465</v>
      </c>
      <c r="B130">
        <v>414</v>
      </c>
      <c r="C130">
        <v>1120000</v>
      </c>
      <c r="D130" t="s">
        <v>466</v>
      </c>
      <c r="E130" t="s">
        <v>467</v>
      </c>
    </row>
    <row r="131" spans="1:5" x14ac:dyDescent="0.25">
      <c r="A131" t="s">
        <v>468</v>
      </c>
      <c r="B131">
        <v>414</v>
      </c>
      <c r="C131">
        <v>1120000</v>
      </c>
      <c r="D131" t="s">
        <v>469</v>
      </c>
      <c r="E131" t="s">
        <v>470</v>
      </c>
    </row>
    <row r="132" spans="1:5" x14ac:dyDescent="0.25">
      <c r="A132" t="s">
        <v>471</v>
      </c>
      <c r="B132">
        <v>414</v>
      </c>
      <c r="C132">
        <v>1120000</v>
      </c>
      <c r="D132" t="s">
        <v>472</v>
      </c>
      <c r="E132" t="s">
        <v>473</v>
      </c>
    </row>
    <row r="133" spans="1:5" x14ac:dyDescent="0.25">
      <c r="A133" t="s">
        <v>474</v>
      </c>
      <c r="B133">
        <v>414</v>
      </c>
      <c r="C133">
        <v>1120000</v>
      </c>
      <c r="D133" t="s">
        <v>475</v>
      </c>
      <c r="E133" t="s">
        <v>476</v>
      </c>
    </row>
    <row r="134" spans="1:5" x14ac:dyDescent="0.25">
      <c r="A134" t="s">
        <v>477</v>
      </c>
      <c r="B134">
        <v>414</v>
      </c>
      <c r="C134">
        <v>1120000</v>
      </c>
      <c r="D134" t="s">
        <v>478</v>
      </c>
      <c r="E134" t="s">
        <v>479</v>
      </c>
    </row>
    <row r="135" spans="1:5" x14ac:dyDescent="0.25">
      <c r="A135" t="s">
        <v>480</v>
      </c>
      <c r="B135">
        <v>414</v>
      </c>
      <c r="C135">
        <v>1120000</v>
      </c>
      <c r="D135" t="s">
        <v>481</v>
      </c>
      <c r="E135" t="s">
        <v>482</v>
      </c>
    </row>
    <row r="136" spans="1:5" x14ac:dyDescent="0.25">
      <c r="A136" t="s">
        <v>483</v>
      </c>
      <c r="B136">
        <v>-714</v>
      </c>
      <c r="C136">
        <v>-1702500</v>
      </c>
      <c r="D136" t="s">
        <v>484</v>
      </c>
      <c r="E136" t="s">
        <v>485</v>
      </c>
    </row>
    <row r="137" spans="1:5" x14ac:dyDescent="0.25">
      <c r="A137" t="s">
        <v>486</v>
      </c>
      <c r="B137">
        <v>414</v>
      </c>
      <c r="C137">
        <v>1120000</v>
      </c>
      <c r="D137" t="s">
        <v>487</v>
      </c>
      <c r="E137" t="s">
        <v>488</v>
      </c>
    </row>
    <row r="138" spans="1:5" x14ac:dyDescent="0.25">
      <c r="A138" t="s">
        <v>489</v>
      </c>
      <c r="B138">
        <v>414</v>
      </c>
      <c r="C138">
        <v>1120000</v>
      </c>
      <c r="D138" t="s">
        <v>490</v>
      </c>
      <c r="E138" t="s">
        <v>491</v>
      </c>
    </row>
    <row r="139" spans="1:5" x14ac:dyDescent="0.25">
      <c r="A139" t="s">
        <v>492</v>
      </c>
      <c r="B139">
        <v>414</v>
      </c>
      <c r="C139">
        <v>1120000</v>
      </c>
      <c r="D139" t="s">
        <v>493</v>
      </c>
      <c r="E139" t="s">
        <v>494</v>
      </c>
    </row>
    <row r="140" spans="1:5" x14ac:dyDescent="0.25">
      <c r="A140" t="s">
        <v>495</v>
      </c>
      <c r="B140">
        <v>414</v>
      </c>
      <c r="C140">
        <v>1120000</v>
      </c>
      <c r="D140" t="s">
        <v>496</v>
      </c>
      <c r="E140" t="s">
        <v>497</v>
      </c>
    </row>
    <row r="141" spans="1:5" x14ac:dyDescent="0.25">
      <c r="A141" t="s">
        <v>498</v>
      </c>
      <c r="B141">
        <v>414</v>
      </c>
      <c r="C141">
        <v>1120000</v>
      </c>
      <c r="D141" t="s">
        <v>499</v>
      </c>
      <c r="E141" t="s">
        <v>500</v>
      </c>
    </row>
    <row r="142" spans="1:5" x14ac:dyDescent="0.25">
      <c r="A142" t="s">
        <v>501</v>
      </c>
      <c r="B142">
        <v>414</v>
      </c>
      <c r="C142">
        <v>1120000</v>
      </c>
      <c r="D142" t="s">
        <v>502</v>
      </c>
      <c r="E142" t="s">
        <v>503</v>
      </c>
    </row>
    <row r="143" spans="1:5" x14ac:dyDescent="0.25">
      <c r="A143" t="s">
        <v>504</v>
      </c>
      <c r="B143">
        <v>414</v>
      </c>
      <c r="C143">
        <v>1120000</v>
      </c>
      <c r="D143" t="s">
        <v>505</v>
      </c>
      <c r="E143" t="s">
        <v>506</v>
      </c>
    </row>
    <row r="144" spans="1:5" x14ac:dyDescent="0.25">
      <c r="A144" t="s">
        <v>507</v>
      </c>
      <c r="B144">
        <v>-794</v>
      </c>
      <c r="C144">
        <v>-1921500</v>
      </c>
      <c r="D144" t="s">
        <v>508</v>
      </c>
      <c r="E144" t="s">
        <v>509</v>
      </c>
    </row>
    <row r="145" spans="1:5" x14ac:dyDescent="0.25">
      <c r="A145" t="s">
        <v>510</v>
      </c>
      <c r="B145">
        <v>-794</v>
      </c>
      <c r="C145">
        <v>-1921500</v>
      </c>
      <c r="D145" t="s">
        <v>511</v>
      </c>
      <c r="E145" t="s">
        <v>512</v>
      </c>
    </row>
    <row r="146" spans="1:5" x14ac:dyDescent="0.25">
      <c r="A146" t="s">
        <v>513</v>
      </c>
      <c r="B146">
        <v>414</v>
      </c>
      <c r="C146">
        <v>1120000</v>
      </c>
      <c r="D146" t="s">
        <v>514</v>
      </c>
      <c r="E146" t="s">
        <v>515</v>
      </c>
    </row>
    <row r="147" spans="1:5" x14ac:dyDescent="0.25">
      <c r="A147" t="s">
        <v>516</v>
      </c>
      <c r="B147">
        <v>414</v>
      </c>
      <c r="C147">
        <v>1120000</v>
      </c>
      <c r="D147" t="s">
        <v>517</v>
      </c>
      <c r="E147" t="s">
        <v>518</v>
      </c>
    </row>
    <row r="148" spans="1:5" x14ac:dyDescent="0.25">
      <c r="A148" t="s">
        <v>519</v>
      </c>
      <c r="B148">
        <v>414</v>
      </c>
      <c r="C148">
        <v>1120000</v>
      </c>
      <c r="D148" t="s">
        <v>520</v>
      </c>
      <c r="E148" t="s">
        <v>521</v>
      </c>
    </row>
    <row r="149" spans="1:5" x14ac:dyDescent="0.25">
      <c r="A149" t="s">
        <v>522</v>
      </c>
      <c r="B149">
        <v>414</v>
      </c>
      <c r="C149">
        <v>1120000</v>
      </c>
      <c r="D149" t="s">
        <v>523</v>
      </c>
      <c r="E149" t="s">
        <v>524</v>
      </c>
    </row>
    <row r="150" spans="1:5" x14ac:dyDescent="0.25">
      <c r="A150" t="s">
        <v>525</v>
      </c>
      <c r="B150">
        <v>-794</v>
      </c>
      <c r="C150">
        <v>-1921500</v>
      </c>
      <c r="D150" t="s">
        <v>526</v>
      </c>
      <c r="E150" t="s">
        <v>527</v>
      </c>
    </row>
    <row r="151" spans="1:5" x14ac:dyDescent="0.25">
      <c r="A151" t="s">
        <v>528</v>
      </c>
      <c r="B151">
        <v>414</v>
      </c>
      <c r="C151">
        <v>1120000</v>
      </c>
      <c r="D151" t="s">
        <v>529</v>
      </c>
      <c r="E151" t="s">
        <v>530</v>
      </c>
    </row>
    <row r="152" spans="1:5" x14ac:dyDescent="0.25">
      <c r="A152" t="s">
        <v>531</v>
      </c>
      <c r="B152">
        <v>-794</v>
      </c>
      <c r="C152">
        <v>-1921500</v>
      </c>
      <c r="D152" t="s">
        <v>532</v>
      </c>
      <c r="E152" t="s">
        <v>533</v>
      </c>
    </row>
    <row r="153" spans="1:5" x14ac:dyDescent="0.25">
      <c r="A153" t="s">
        <v>534</v>
      </c>
      <c r="B153">
        <v>414</v>
      </c>
      <c r="C153">
        <v>1120000</v>
      </c>
      <c r="D153" t="s">
        <v>535</v>
      </c>
      <c r="E153" t="s">
        <v>536</v>
      </c>
    </row>
    <row r="154" spans="1:5" x14ac:dyDescent="0.25">
      <c r="A154" t="s">
        <v>537</v>
      </c>
      <c r="B154">
        <v>414</v>
      </c>
      <c r="C154">
        <v>1120000</v>
      </c>
      <c r="D154" t="s">
        <v>538</v>
      </c>
      <c r="E154" t="s">
        <v>539</v>
      </c>
    </row>
    <row r="155" spans="1:5" x14ac:dyDescent="0.25">
      <c r="A155" t="s">
        <v>540</v>
      </c>
      <c r="B155">
        <v>414</v>
      </c>
      <c r="C155">
        <v>1120000</v>
      </c>
      <c r="D155" t="s">
        <v>541</v>
      </c>
      <c r="E155" t="s">
        <v>542</v>
      </c>
    </row>
    <row r="156" spans="1:5" x14ac:dyDescent="0.25">
      <c r="A156" t="s">
        <v>543</v>
      </c>
      <c r="B156">
        <v>-794</v>
      </c>
      <c r="C156">
        <v>-1921500</v>
      </c>
      <c r="D156" t="s">
        <v>544</v>
      </c>
      <c r="E156" t="s">
        <v>545</v>
      </c>
    </row>
    <row r="157" spans="1:5" x14ac:dyDescent="0.25">
      <c r="A157" t="s">
        <v>546</v>
      </c>
      <c r="B157">
        <v>-794</v>
      </c>
      <c r="C157">
        <v>-1921500</v>
      </c>
      <c r="D157" t="s">
        <v>547</v>
      </c>
      <c r="E157" t="s">
        <v>548</v>
      </c>
    </row>
    <row r="158" spans="1:5" x14ac:dyDescent="0.25">
      <c r="A158" t="s">
        <v>549</v>
      </c>
      <c r="B158">
        <v>414</v>
      </c>
      <c r="C158">
        <v>1120000</v>
      </c>
      <c r="D158" t="s">
        <v>550</v>
      </c>
      <c r="E158" t="s">
        <v>551</v>
      </c>
    </row>
    <row r="159" spans="1:5" x14ac:dyDescent="0.25">
      <c r="A159" t="s">
        <v>552</v>
      </c>
      <c r="B159">
        <v>414</v>
      </c>
      <c r="C159">
        <v>1120000</v>
      </c>
      <c r="D159" t="s">
        <v>553</v>
      </c>
      <c r="E159" t="s">
        <v>554</v>
      </c>
    </row>
    <row r="160" spans="1:5" x14ac:dyDescent="0.25">
      <c r="A160" t="s">
        <v>555</v>
      </c>
      <c r="B160">
        <v>414</v>
      </c>
      <c r="C160">
        <v>1120000</v>
      </c>
      <c r="D160" t="s">
        <v>556</v>
      </c>
      <c r="E160" t="s">
        <v>557</v>
      </c>
    </row>
    <row r="161" spans="1:5" x14ac:dyDescent="0.25">
      <c r="A161" t="s">
        <v>558</v>
      </c>
      <c r="B161">
        <v>414</v>
      </c>
      <c r="C161">
        <v>1120000</v>
      </c>
      <c r="D161" t="s">
        <v>559</v>
      </c>
      <c r="E161" t="s">
        <v>560</v>
      </c>
    </row>
    <row r="162" spans="1:5" x14ac:dyDescent="0.25">
      <c r="A162" t="s">
        <v>561</v>
      </c>
      <c r="B162">
        <v>-794</v>
      </c>
      <c r="C162">
        <v>-1921500</v>
      </c>
      <c r="D162" t="s">
        <v>562</v>
      </c>
      <c r="E162" t="s">
        <v>563</v>
      </c>
    </row>
    <row r="163" spans="1:5" x14ac:dyDescent="0.25">
      <c r="A163" t="s">
        <v>564</v>
      </c>
      <c r="B163">
        <v>414</v>
      </c>
      <c r="C163">
        <v>1120000</v>
      </c>
      <c r="D163" t="s">
        <v>565</v>
      </c>
      <c r="E163" t="s">
        <v>566</v>
      </c>
    </row>
    <row r="164" spans="1:5" x14ac:dyDescent="0.25">
      <c r="A164" t="s">
        <v>567</v>
      </c>
      <c r="B164">
        <v>414</v>
      </c>
      <c r="C164">
        <v>1120000</v>
      </c>
      <c r="D164" t="s">
        <v>568</v>
      </c>
      <c r="E164" t="s">
        <v>569</v>
      </c>
    </row>
    <row r="165" spans="1:5" x14ac:dyDescent="0.25">
      <c r="A165" t="s">
        <v>570</v>
      </c>
      <c r="B165">
        <v>414</v>
      </c>
      <c r="C165">
        <v>1120000</v>
      </c>
      <c r="D165" t="s">
        <v>571</v>
      </c>
      <c r="E165" t="s">
        <v>572</v>
      </c>
    </row>
    <row r="166" spans="1:5" x14ac:dyDescent="0.25">
      <c r="A166" t="s">
        <v>573</v>
      </c>
      <c r="B166">
        <v>-794</v>
      </c>
      <c r="C166">
        <v>-1921500</v>
      </c>
      <c r="D166" t="s">
        <v>574</v>
      </c>
      <c r="E166" t="s">
        <v>575</v>
      </c>
    </row>
    <row r="167" spans="1:5" x14ac:dyDescent="0.25">
      <c r="A167" t="s">
        <v>576</v>
      </c>
      <c r="B167">
        <v>369</v>
      </c>
      <c r="C167">
        <v>997500</v>
      </c>
      <c r="D167" t="s">
        <v>577</v>
      </c>
      <c r="E167" t="s">
        <v>578</v>
      </c>
    </row>
    <row r="168" spans="1:5" x14ac:dyDescent="0.25">
      <c r="A168" t="s">
        <v>579</v>
      </c>
      <c r="B168">
        <v>414</v>
      </c>
      <c r="C168">
        <v>1120000</v>
      </c>
      <c r="D168" t="s">
        <v>580</v>
      </c>
      <c r="E168" t="s">
        <v>581</v>
      </c>
    </row>
    <row r="169" spans="1:5" x14ac:dyDescent="0.25">
      <c r="A169" t="s">
        <v>582</v>
      </c>
      <c r="B169">
        <v>414</v>
      </c>
      <c r="C169">
        <v>1120000</v>
      </c>
      <c r="D169" t="s">
        <v>583</v>
      </c>
      <c r="E169" t="s">
        <v>584</v>
      </c>
    </row>
    <row r="170" spans="1:5" x14ac:dyDescent="0.25">
      <c r="A170" t="s">
        <v>585</v>
      </c>
      <c r="B170">
        <v>414</v>
      </c>
      <c r="C170">
        <v>1120000</v>
      </c>
      <c r="D170" t="s">
        <v>586</v>
      </c>
      <c r="E170" t="s">
        <v>587</v>
      </c>
    </row>
    <row r="171" spans="1:5" x14ac:dyDescent="0.25">
      <c r="A171" t="s">
        <v>588</v>
      </c>
      <c r="B171">
        <v>369</v>
      </c>
      <c r="C171">
        <v>997500</v>
      </c>
      <c r="D171" t="s">
        <v>589</v>
      </c>
      <c r="E171" t="s">
        <v>590</v>
      </c>
    </row>
    <row r="172" spans="1:5" x14ac:dyDescent="0.25">
      <c r="A172" t="s">
        <v>591</v>
      </c>
      <c r="B172">
        <v>414</v>
      </c>
      <c r="C172">
        <v>1120000</v>
      </c>
    </row>
    <row r="173" spans="1:5" x14ac:dyDescent="0.25">
      <c r="A173" t="s">
        <v>592</v>
      </c>
      <c r="B173">
        <v>414</v>
      </c>
      <c r="C173">
        <v>1120000</v>
      </c>
      <c r="D173" t="s">
        <v>593</v>
      </c>
      <c r="E173" t="s">
        <v>594</v>
      </c>
    </row>
    <row r="174" spans="1:5" x14ac:dyDescent="0.25">
      <c r="A174" t="s">
        <v>595</v>
      </c>
      <c r="B174">
        <v>-794</v>
      </c>
      <c r="C174">
        <v>-1921500</v>
      </c>
      <c r="D174" t="s">
        <v>596</v>
      </c>
      <c r="E174" t="s">
        <v>597</v>
      </c>
    </row>
    <row r="175" spans="1:5" x14ac:dyDescent="0.25">
      <c r="A175" t="s">
        <v>598</v>
      </c>
      <c r="B175">
        <v>414</v>
      </c>
      <c r="C175">
        <v>1120000</v>
      </c>
      <c r="D175" t="s">
        <v>599</v>
      </c>
      <c r="E175" t="s">
        <v>600</v>
      </c>
    </row>
    <row r="176" spans="1:5" x14ac:dyDescent="0.25">
      <c r="A176" t="s">
        <v>601</v>
      </c>
      <c r="B176">
        <v>414</v>
      </c>
      <c r="C176">
        <v>1120000</v>
      </c>
      <c r="D176" t="s">
        <v>602</v>
      </c>
      <c r="E176" t="s">
        <v>603</v>
      </c>
    </row>
    <row r="177" spans="1:5" x14ac:dyDescent="0.25">
      <c r="A177" t="s">
        <v>604</v>
      </c>
      <c r="B177">
        <v>414</v>
      </c>
      <c r="C177">
        <v>1120000</v>
      </c>
      <c r="D177" t="s">
        <v>605</v>
      </c>
      <c r="E177" t="s">
        <v>606</v>
      </c>
    </row>
    <row r="178" spans="1:5" x14ac:dyDescent="0.25">
      <c r="A178" t="s">
        <v>607</v>
      </c>
      <c r="B178">
        <v>414</v>
      </c>
      <c r="C178">
        <v>1120000</v>
      </c>
      <c r="D178" t="s">
        <v>608</v>
      </c>
      <c r="E178" t="s">
        <v>609</v>
      </c>
    </row>
    <row r="179" spans="1:5" x14ac:dyDescent="0.25">
      <c r="A179" t="s">
        <v>610</v>
      </c>
      <c r="B179">
        <v>369</v>
      </c>
      <c r="C179">
        <v>997500</v>
      </c>
      <c r="D179" t="s">
        <v>611</v>
      </c>
      <c r="E179" t="s">
        <v>612</v>
      </c>
    </row>
    <row r="180" spans="1:5" x14ac:dyDescent="0.25">
      <c r="A180" t="s">
        <v>613</v>
      </c>
      <c r="B180">
        <v>414</v>
      </c>
      <c r="C180">
        <v>1120000</v>
      </c>
      <c r="D180" t="s">
        <v>614</v>
      </c>
      <c r="E180" t="s">
        <v>615</v>
      </c>
    </row>
    <row r="181" spans="1:5" x14ac:dyDescent="0.25">
      <c r="A181" t="s">
        <v>616</v>
      </c>
      <c r="B181">
        <v>414</v>
      </c>
      <c r="C181">
        <v>1120000</v>
      </c>
      <c r="D181" t="s">
        <v>617</v>
      </c>
      <c r="E181" t="s">
        <v>618</v>
      </c>
    </row>
    <row r="182" spans="1:5" x14ac:dyDescent="0.25">
      <c r="A182" t="s">
        <v>619</v>
      </c>
      <c r="B182">
        <v>369</v>
      </c>
      <c r="C182">
        <v>997500</v>
      </c>
      <c r="D182" t="s">
        <v>620</v>
      </c>
      <c r="E182" t="s">
        <v>621</v>
      </c>
    </row>
    <row r="183" spans="1:5" x14ac:dyDescent="0.25">
      <c r="A183" t="s">
        <v>622</v>
      </c>
      <c r="B183">
        <v>-794</v>
      </c>
      <c r="C183">
        <v>-1921500</v>
      </c>
      <c r="D183" t="s">
        <v>623</v>
      </c>
      <c r="E183" t="s">
        <v>624</v>
      </c>
    </row>
    <row r="184" spans="1:5" x14ac:dyDescent="0.25">
      <c r="A184" t="s">
        <v>625</v>
      </c>
      <c r="B184">
        <v>-794</v>
      </c>
      <c r="C184">
        <v>-1921500</v>
      </c>
      <c r="D184" t="s">
        <v>626</v>
      </c>
      <c r="E184" t="s">
        <v>627</v>
      </c>
    </row>
    <row r="185" spans="1:5" x14ac:dyDescent="0.25">
      <c r="A185" t="s">
        <v>628</v>
      </c>
      <c r="B185">
        <v>414</v>
      </c>
      <c r="C185">
        <v>1120000</v>
      </c>
      <c r="D185" t="s">
        <v>629</v>
      </c>
      <c r="E185" t="s">
        <v>630</v>
      </c>
    </row>
    <row r="186" spans="1:5" x14ac:dyDescent="0.25">
      <c r="A186" t="s">
        <v>631</v>
      </c>
      <c r="B186">
        <v>414</v>
      </c>
      <c r="C186">
        <v>1120000</v>
      </c>
      <c r="D186" t="s">
        <v>632</v>
      </c>
      <c r="E186" t="s">
        <v>633</v>
      </c>
    </row>
    <row r="187" spans="1:5" x14ac:dyDescent="0.25">
      <c r="A187" t="s">
        <v>634</v>
      </c>
      <c r="B187">
        <v>-794</v>
      </c>
      <c r="C187">
        <v>-1921500</v>
      </c>
      <c r="D187" t="s">
        <v>635</v>
      </c>
      <c r="E187" t="s">
        <v>636</v>
      </c>
    </row>
    <row r="188" spans="1:5" x14ac:dyDescent="0.25">
      <c r="A188" t="s">
        <v>637</v>
      </c>
      <c r="B188">
        <v>414</v>
      </c>
      <c r="C188">
        <v>1120000</v>
      </c>
      <c r="D188" t="s">
        <v>638</v>
      </c>
      <c r="E188" t="s">
        <v>639</v>
      </c>
    </row>
    <row r="189" spans="1:5" x14ac:dyDescent="0.25">
      <c r="A189" t="s">
        <v>640</v>
      </c>
      <c r="B189">
        <v>414</v>
      </c>
      <c r="C189">
        <v>1120000</v>
      </c>
      <c r="D189" t="s">
        <v>641</v>
      </c>
      <c r="E189" t="s">
        <v>642</v>
      </c>
    </row>
    <row r="190" spans="1:5" x14ac:dyDescent="0.25">
      <c r="A190" t="s">
        <v>643</v>
      </c>
      <c r="B190">
        <v>414</v>
      </c>
      <c r="C190">
        <v>1120000</v>
      </c>
      <c r="D190" t="s">
        <v>644</v>
      </c>
      <c r="E190" t="s">
        <v>645</v>
      </c>
    </row>
    <row r="191" spans="1:5" x14ac:dyDescent="0.25">
      <c r="A191" t="s">
        <v>646</v>
      </c>
      <c r="B191">
        <v>414</v>
      </c>
      <c r="C191">
        <v>1120000</v>
      </c>
      <c r="D191" t="s">
        <v>647</v>
      </c>
      <c r="E191" t="s">
        <v>648</v>
      </c>
    </row>
    <row r="192" spans="1:5" x14ac:dyDescent="0.25">
      <c r="A192" t="s">
        <v>649</v>
      </c>
      <c r="B192">
        <v>414</v>
      </c>
      <c r="C192">
        <v>1120000</v>
      </c>
      <c r="D192" t="s">
        <v>650</v>
      </c>
      <c r="E192" t="s">
        <v>651</v>
      </c>
    </row>
    <row r="193" spans="1:5" x14ac:dyDescent="0.25">
      <c r="A193" t="s">
        <v>652</v>
      </c>
      <c r="B193">
        <v>-794</v>
      </c>
      <c r="C193">
        <v>-1921500</v>
      </c>
      <c r="D193" t="s">
        <v>653</v>
      </c>
      <c r="E193" t="s">
        <v>654</v>
      </c>
    </row>
    <row r="194" spans="1:5" x14ac:dyDescent="0.25">
      <c r="A194" t="s">
        <v>655</v>
      </c>
      <c r="B194">
        <v>414</v>
      </c>
      <c r="C194">
        <v>1120000</v>
      </c>
      <c r="D194" t="s">
        <v>656</v>
      </c>
      <c r="E194" t="s">
        <v>657</v>
      </c>
    </row>
    <row r="195" spans="1:5" x14ac:dyDescent="0.25">
      <c r="A195" t="s">
        <v>658</v>
      </c>
      <c r="B195">
        <v>414</v>
      </c>
      <c r="C195">
        <v>1120000</v>
      </c>
      <c r="D195" t="s">
        <v>659</v>
      </c>
      <c r="E195" t="s">
        <v>660</v>
      </c>
    </row>
    <row r="196" spans="1:5" x14ac:dyDescent="0.25">
      <c r="A196" t="s">
        <v>661</v>
      </c>
      <c r="B196">
        <v>414</v>
      </c>
      <c r="C196">
        <v>1120000</v>
      </c>
      <c r="D196" t="s">
        <v>662</v>
      </c>
      <c r="E196" t="s">
        <v>663</v>
      </c>
    </row>
    <row r="197" spans="1:5" x14ac:dyDescent="0.25">
      <c r="A197" t="s">
        <v>664</v>
      </c>
      <c r="B197">
        <v>414</v>
      </c>
      <c r="C197">
        <v>1120000</v>
      </c>
      <c r="D197" t="s">
        <v>665</v>
      </c>
      <c r="E197" t="s">
        <v>666</v>
      </c>
    </row>
    <row r="198" spans="1:5" x14ac:dyDescent="0.25">
      <c r="A198" t="s">
        <v>667</v>
      </c>
      <c r="B198">
        <v>414</v>
      </c>
      <c r="C198">
        <v>1120000</v>
      </c>
      <c r="D198" t="s">
        <v>668</v>
      </c>
      <c r="E198" t="s">
        <v>669</v>
      </c>
    </row>
    <row r="199" spans="1:5" x14ac:dyDescent="0.25">
      <c r="A199" t="s">
        <v>670</v>
      </c>
      <c r="B199">
        <v>414</v>
      </c>
      <c r="C199">
        <v>1120000</v>
      </c>
      <c r="D199" t="s">
        <v>671</v>
      </c>
      <c r="E199" t="s">
        <v>672</v>
      </c>
    </row>
    <row r="200" spans="1:5" x14ac:dyDescent="0.25">
      <c r="A200" t="s">
        <v>673</v>
      </c>
      <c r="B200">
        <v>-794</v>
      </c>
      <c r="C200">
        <v>-1921500</v>
      </c>
      <c r="D200" t="s">
        <v>674</v>
      </c>
      <c r="E200" t="s">
        <v>675</v>
      </c>
    </row>
    <row r="201" spans="1:5" x14ac:dyDescent="0.25">
      <c r="A201" t="s">
        <v>676</v>
      </c>
      <c r="B201">
        <v>414</v>
      </c>
      <c r="C201">
        <v>1120000</v>
      </c>
      <c r="D201" t="s">
        <v>677</v>
      </c>
      <c r="E201" t="s">
        <v>678</v>
      </c>
    </row>
    <row r="202" spans="1:5" x14ac:dyDescent="0.25">
      <c r="A202" t="s">
        <v>679</v>
      </c>
      <c r="B202">
        <v>369</v>
      </c>
      <c r="C202">
        <v>997500</v>
      </c>
      <c r="D202" t="s">
        <v>680</v>
      </c>
      <c r="E202" t="s">
        <v>681</v>
      </c>
    </row>
    <row r="203" spans="1:5" x14ac:dyDescent="0.25">
      <c r="A203" t="s">
        <v>682</v>
      </c>
      <c r="B203">
        <v>414</v>
      </c>
      <c r="C203">
        <v>1120000</v>
      </c>
      <c r="D203" t="s">
        <v>683</v>
      </c>
      <c r="E203" t="s">
        <v>684</v>
      </c>
    </row>
    <row r="204" spans="1:5" x14ac:dyDescent="0.25">
      <c r="A204" t="s">
        <v>685</v>
      </c>
      <c r="B204">
        <v>-794</v>
      </c>
      <c r="C204">
        <v>-1921500</v>
      </c>
      <c r="D204" t="s">
        <v>686</v>
      </c>
      <c r="E204" t="s">
        <v>687</v>
      </c>
    </row>
    <row r="205" spans="1:5" x14ac:dyDescent="0.25">
      <c r="A205" t="s">
        <v>688</v>
      </c>
      <c r="B205">
        <v>-794</v>
      </c>
      <c r="C205">
        <v>-1921500</v>
      </c>
      <c r="D205" t="s">
        <v>689</v>
      </c>
      <c r="E205" t="s">
        <v>690</v>
      </c>
    </row>
    <row r="206" spans="1:5" x14ac:dyDescent="0.25">
      <c r="A206" t="s">
        <v>691</v>
      </c>
      <c r="B206">
        <v>414</v>
      </c>
      <c r="C206">
        <v>1120000</v>
      </c>
      <c r="D206" t="s">
        <v>692</v>
      </c>
      <c r="E206" t="s">
        <v>693</v>
      </c>
    </row>
    <row r="207" spans="1:5" x14ac:dyDescent="0.25">
      <c r="A207" t="s">
        <v>694</v>
      </c>
      <c r="B207">
        <v>414</v>
      </c>
      <c r="C207">
        <v>1120000</v>
      </c>
      <c r="D207" t="s">
        <v>695</v>
      </c>
      <c r="E207" t="s">
        <v>696</v>
      </c>
    </row>
    <row r="208" spans="1:5" x14ac:dyDescent="0.25">
      <c r="A208" t="s">
        <v>697</v>
      </c>
      <c r="B208">
        <v>414</v>
      </c>
      <c r="C208">
        <v>1120000</v>
      </c>
      <c r="D208" t="s">
        <v>698</v>
      </c>
      <c r="E208" t="s">
        <v>699</v>
      </c>
    </row>
    <row r="209" spans="1:5" x14ac:dyDescent="0.25">
      <c r="A209" t="s">
        <v>700</v>
      </c>
      <c r="B209">
        <v>-794</v>
      </c>
      <c r="C209">
        <v>-1921500</v>
      </c>
      <c r="D209" t="s">
        <v>701</v>
      </c>
      <c r="E209" t="s">
        <v>702</v>
      </c>
    </row>
    <row r="210" spans="1:5" x14ac:dyDescent="0.25">
      <c r="A210" t="s">
        <v>703</v>
      </c>
      <c r="B210">
        <v>414</v>
      </c>
      <c r="C210">
        <v>1120000</v>
      </c>
      <c r="D210" t="s">
        <v>704</v>
      </c>
      <c r="E210" t="s">
        <v>705</v>
      </c>
    </row>
    <row r="211" spans="1:5" x14ac:dyDescent="0.25">
      <c r="A211" t="s">
        <v>706</v>
      </c>
      <c r="B211">
        <v>414</v>
      </c>
      <c r="C211">
        <v>1120000</v>
      </c>
      <c r="D211" t="s">
        <v>707</v>
      </c>
      <c r="E211" t="s">
        <v>708</v>
      </c>
    </row>
    <row r="212" spans="1:5" x14ac:dyDescent="0.25">
      <c r="A212" t="s">
        <v>709</v>
      </c>
      <c r="B212">
        <v>-794</v>
      </c>
      <c r="C212">
        <v>-1921500</v>
      </c>
      <c r="D212" t="s">
        <v>710</v>
      </c>
      <c r="E212" t="s">
        <v>711</v>
      </c>
    </row>
    <row r="213" spans="1:5" x14ac:dyDescent="0.25">
      <c r="A213" t="s">
        <v>712</v>
      </c>
      <c r="B213">
        <v>414</v>
      </c>
      <c r="C213">
        <v>1120000</v>
      </c>
      <c r="D213" t="s">
        <v>713</v>
      </c>
      <c r="E213" t="s">
        <v>714</v>
      </c>
    </row>
    <row r="214" spans="1:5" x14ac:dyDescent="0.25">
      <c r="A214" t="s">
        <v>715</v>
      </c>
      <c r="B214">
        <v>414</v>
      </c>
      <c r="C214">
        <v>1120000</v>
      </c>
      <c r="D214" t="s">
        <v>716</v>
      </c>
      <c r="E214" t="s">
        <v>717</v>
      </c>
    </row>
    <row r="215" spans="1:5" x14ac:dyDescent="0.25">
      <c r="A215" t="s">
        <v>718</v>
      </c>
      <c r="B215">
        <v>414</v>
      </c>
      <c r="C215">
        <v>1120000</v>
      </c>
      <c r="D215" t="s">
        <v>719</v>
      </c>
      <c r="E215" t="s">
        <v>720</v>
      </c>
    </row>
    <row r="216" spans="1:5" x14ac:dyDescent="0.25">
      <c r="A216" t="s">
        <v>721</v>
      </c>
      <c r="B216">
        <v>414</v>
      </c>
      <c r="C216">
        <v>1120000</v>
      </c>
      <c r="D216" t="s">
        <v>722</v>
      </c>
      <c r="E216" t="s">
        <v>723</v>
      </c>
    </row>
    <row r="217" spans="1:5" x14ac:dyDescent="0.25">
      <c r="A217" t="s">
        <v>724</v>
      </c>
      <c r="B217">
        <v>-794</v>
      </c>
      <c r="C217">
        <v>-1921500</v>
      </c>
      <c r="D217" t="s">
        <v>725</v>
      </c>
      <c r="E217" t="s">
        <v>726</v>
      </c>
    </row>
    <row r="218" spans="1:5" x14ac:dyDescent="0.25">
      <c r="A218" t="s">
        <v>727</v>
      </c>
      <c r="B218">
        <v>414</v>
      </c>
      <c r="C218">
        <v>1120000</v>
      </c>
      <c r="D218" t="s">
        <v>728</v>
      </c>
      <c r="E218" t="s">
        <v>729</v>
      </c>
    </row>
    <row r="219" spans="1:5" x14ac:dyDescent="0.25">
      <c r="A219" t="s">
        <v>730</v>
      </c>
      <c r="B219">
        <v>414</v>
      </c>
      <c r="C219">
        <v>1120000</v>
      </c>
      <c r="D219" t="s">
        <v>731</v>
      </c>
      <c r="E219" t="s">
        <v>732</v>
      </c>
    </row>
    <row r="220" spans="1:5" x14ac:dyDescent="0.25">
      <c r="A220" t="s">
        <v>733</v>
      </c>
      <c r="B220">
        <v>414</v>
      </c>
      <c r="C220">
        <v>1120000</v>
      </c>
    </row>
    <row r="221" spans="1:5" x14ac:dyDescent="0.25">
      <c r="A221" t="s">
        <v>734</v>
      </c>
      <c r="B221">
        <v>414</v>
      </c>
      <c r="C221">
        <v>1120000</v>
      </c>
      <c r="D221" t="s">
        <v>735</v>
      </c>
      <c r="E221" t="s">
        <v>736</v>
      </c>
    </row>
    <row r="222" spans="1:5" x14ac:dyDescent="0.25">
      <c r="A222" t="s">
        <v>737</v>
      </c>
      <c r="B222">
        <v>414</v>
      </c>
      <c r="C222">
        <v>1120000</v>
      </c>
      <c r="D222" t="s">
        <v>738</v>
      </c>
      <c r="E222" t="s">
        <v>739</v>
      </c>
    </row>
    <row r="223" spans="1:5" x14ac:dyDescent="0.25">
      <c r="A223" t="s">
        <v>740</v>
      </c>
      <c r="B223">
        <v>414</v>
      </c>
      <c r="C223">
        <v>1120000</v>
      </c>
      <c r="D223" t="s">
        <v>741</v>
      </c>
      <c r="E223" t="s">
        <v>742</v>
      </c>
    </row>
    <row r="224" spans="1:5" x14ac:dyDescent="0.25">
      <c r="A224" t="s">
        <v>743</v>
      </c>
      <c r="B224">
        <v>-794</v>
      </c>
      <c r="C224">
        <v>-1921500</v>
      </c>
      <c r="D224" t="s">
        <v>744</v>
      </c>
      <c r="E224" t="s">
        <v>745</v>
      </c>
    </row>
    <row r="225" spans="1:5" x14ac:dyDescent="0.25">
      <c r="A225" t="s">
        <v>746</v>
      </c>
      <c r="B225">
        <v>414</v>
      </c>
      <c r="C225">
        <v>1120000</v>
      </c>
      <c r="D225" t="s">
        <v>747</v>
      </c>
      <c r="E225" t="s">
        <v>748</v>
      </c>
    </row>
    <row r="226" spans="1:5" x14ac:dyDescent="0.25">
      <c r="A226" t="s">
        <v>749</v>
      </c>
      <c r="B226">
        <v>414</v>
      </c>
      <c r="C226">
        <v>1120000</v>
      </c>
      <c r="D226" t="s">
        <v>750</v>
      </c>
      <c r="E226" t="s">
        <v>751</v>
      </c>
    </row>
    <row r="227" spans="1:5" x14ac:dyDescent="0.25">
      <c r="A227" t="s">
        <v>752</v>
      </c>
      <c r="B227">
        <v>369</v>
      </c>
      <c r="C227">
        <v>997500</v>
      </c>
      <c r="D227" t="s">
        <v>753</v>
      </c>
      <c r="E227" t="s">
        <v>754</v>
      </c>
    </row>
    <row r="228" spans="1:5" x14ac:dyDescent="0.25">
      <c r="A228" t="s">
        <v>755</v>
      </c>
      <c r="B228">
        <v>414</v>
      </c>
      <c r="C228">
        <v>1120000</v>
      </c>
      <c r="D228" t="s">
        <v>756</v>
      </c>
      <c r="E228" t="s">
        <v>757</v>
      </c>
    </row>
    <row r="229" spans="1:5" x14ac:dyDescent="0.25">
      <c r="A229" t="s">
        <v>758</v>
      </c>
      <c r="B229">
        <v>414</v>
      </c>
      <c r="C229">
        <v>1120000</v>
      </c>
      <c r="D229" t="s">
        <v>759</v>
      </c>
      <c r="E229" t="s">
        <v>760</v>
      </c>
    </row>
    <row r="230" spans="1:5" x14ac:dyDescent="0.25">
      <c r="A230" t="s">
        <v>761</v>
      </c>
      <c r="B230">
        <v>414</v>
      </c>
      <c r="C230">
        <v>1120000</v>
      </c>
      <c r="D230" t="s">
        <v>762</v>
      </c>
      <c r="E230" t="s">
        <v>763</v>
      </c>
    </row>
    <row r="231" spans="1:5" x14ac:dyDescent="0.25">
      <c r="A231" t="s">
        <v>764</v>
      </c>
      <c r="B231">
        <v>414</v>
      </c>
      <c r="C231">
        <v>1120000</v>
      </c>
      <c r="D231" t="s">
        <v>765</v>
      </c>
      <c r="E231" t="s">
        <v>766</v>
      </c>
    </row>
    <row r="232" spans="1:5" x14ac:dyDescent="0.25">
      <c r="A232" t="s">
        <v>767</v>
      </c>
      <c r="B232">
        <v>414</v>
      </c>
      <c r="C232">
        <v>1120000</v>
      </c>
      <c r="D232" t="s">
        <v>768</v>
      </c>
      <c r="E232" t="s">
        <v>769</v>
      </c>
    </row>
    <row r="233" spans="1:5" x14ac:dyDescent="0.25">
      <c r="A233" t="s">
        <v>770</v>
      </c>
      <c r="B233">
        <v>414</v>
      </c>
      <c r="C233">
        <v>1120000</v>
      </c>
      <c r="D233" t="s">
        <v>771</v>
      </c>
      <c r="E233" t="s">
        <v>772</v>
      </c>
    </row>
    <row r="234" spans="1:5" x14ac:dyDescent="0.25">
      <c r="A234" t="s">
        <v>773</v>
      </c>
      <c r="B234">
        <v>414</v>
      </c>
      <c r="C234">
        <v>1120000</v>
      </c>
      <c r="D234" t="s">
        <v>774</v>
      </c>
      <c r="E234" t="s">
        <v>775</v>
      </c>
    </row>
    <row r="235" spans="1:5" x14ac:dyDescent="0.25">
      <c r="A235" t="s">
        <v>776</v>
      </c>
      <c r="B235">
        <v>414</v>
      </c>
      <c r="C235">
        <v>1120000</v>
      </c>
      <c r="D235" t="s">
        <v>777</v>
      </c>
      <c r="E235" t="s">
        <v>778</v>
      </c>
    </row>
    <row r="236" spans="1:5" x14ac:dyDescent="0.25">
      <c r="A236" t="s">
        <v>779</v>
      </c>
      <c r="B236">
        <v>-794</v>
      </c>
      <c r="C236">
        <v>-1921500</v>
      </c>
      <c r="D236" t="s">
        <v>780</v>
      </c>
      <c r="E236" t="s">
        <v>781</v>
      </c>
    </row>
    <row r="237" spans="1:5" x14ac:dyDescent="0.25">
      <c r="A237" t="s">
        <v>782</v>
      </c>
      <c r="B237">
        <v>-794</v>
      </c>
      <c r="C237">
        <v>-1921500</v>
      </c>
      <c r="D237" t="s">
        <v>783</v>
      </c>
      <c r="E237" t="s">
        <v>784</v>
      </c>
    </row>
    <row r="238" spans="1:5" x14ac:dyDescent="0.25">
      <c r="A238" t="s">
        <v>785</v>
      </c>
      <c r="B238">
        <v>414</v>
      </c>
      <c r="C238">
        <v>1120000</v>
      </c>
      <c r="D238" t="s">
        <v>786</v>
      </c>
      <c r="E238" t="s">
        <v>787</v>
      </c>
    </row>
    <row r="239" spans="1:5" x14ac:dyDescent="0.25">
      <c r="A239" t="s">
        <v>788</v>
      </c>
      <c r="B239">
        <v>-794</v>
      </c>
      <c r="C239">
        <v>-1921500</v>
      </c>
      <c r="D239" t="s">
        <v>789</v>
      </c>
      <c r="E239" t="s">
        <v>790</v>
      </c>
    </row>
    <row r="240" spans="1:5" x14ac:dyDescent="0.25">
      <c r="A240" t="s">
        <v>791</v>
      </c>
      <c r="B240">
        <v>-794</v>
      </c>
      <c r="C240">
        <v>-1921500</v>
      </c>
      <c r="D240" t="s">
        <v>792</v>
      </c>
      <c r="E240" t="s">
        <v>793</v>
      </c>
    </row>
    <row r="241" spans="1:5" x14ac:dyDescent="0.25">
      <c r="A241" t="s">
        <v>794</v>
      </c>
      <c r="B241">
        <v>-794</v>
      </c>
      <c r="C241">
        <v>-1921500</v>
      </c>
      <c r="D241" t="s">
        <v>795</v>
      </c>
      <c r="E241" t="s">
        <v>796</v>
      </c>
    </row>
    <row r="242" spans="1:5" x14ac:dyDescent="0.25">
      <c r="A242" t="s">
        <v>797</v>
      </c>
      <c r="B242">
        <v>-794</v>
      </c>
      <c r="C242">
        <v>-1921500</v>
      </c>
      <c r="D242" t="s">
        <v>798</v>
      </c>
      <c r="E242" t="s">
        <v>799</v>
      </c>
    </row>
    <row r="243" spans="1:5" x14ac:dyDescent="0.25">
      <c r="A243" t="s">
        <v>800</v>
      </c>
      <c r="B243">
        <v>414</v>
      </c>
      <c r="C243">
        <v>1120000</v>
      </c>
      <c r="D243" t="s">
        <v>801</v>
      </c>
      <c r="E243" t="s">
        <v>802</v>
      </c>
    </row>
    <row r="244" spans="1:5" x14ac:dyDescent="0.25">
      <c r="A244" t="s">
        <v>803</v>
      </c>
      <c r="B244">
        <v>414</v>
      </c>
      <c r="C244">
        <v>1120000</v>
      </c>
      <c r="D244" t="s">
        <v>804</v>
      </c>
      <c r="E244" t="s">
        <v>805</v>
      </c>
    </row>
    <row r="245" spans="1:5" x14ac:dyDescent="0.25">
      <c r="A245" t="s">
        <v>806</v>
      </c>
      <c r="B245">
        <v>414</v>
      </c>
      <c r="C245">
        <v>1120000</v>
      </c>
      <c r="D245" t="s">
        <v>807</v>
      </c>
      <c r="E245" t="s">
        <v>808</v>
      </c>
    </row>
    <row r="246" spans="1:5" x14ac:dyDescent="0.25">
      <c r="A246" t="s">
        <v>809</v>
      </c>
      <c r="B246">
        <v>414</v>
      </c>
      <c r="C246">
        <v>1120000</v>
      </c>
      <c r="D246" t="s">
        <v>810</v>
      </c>
      <c r="E246" t="s">
        <v>811</v>
      </c>
    </row>
    <row r="247" spans="1:5" x14ac:dyDescent="0.25">
      <c r="A247" t="s">
        <v>812</v>
      </c>
      <c r="B247">
        <v>-794</v>
      </c>
      <c r="C247">
        <v>-1921500</v>
      </c>
      <c r="D247" t="s">
        <v>813</v>
      </c>
      <c r="E247" t="s">
        <v>814</v>
      </c>
    </row>
    <row r="248" spans="1:5" x14ac:dyDescent="0.25">
      <c r="A248" t="s">
        <v>815</v>
      </c>
      <c r="B248">
        <v>414</v>
      </c>
      <c r="C248">
        <v>1120000</v>
      </c>
      <c r="D248" t="s">
        <v>816</v>
      </c>
      <c r="E248" t="s">
        <v>817</v>
      </c>
    </row>
    <row r="249" spans="1:5" x14ac:dyDescent="0.25">
      <c r="A249" t="s">
        <v>818</v>
      </c>
      <c r="B249">
        <v>-794</v>
      </c>
      <c r="C249">
        <v>-1921500</v>
      </c>
      <c r="D249" t="s">
        <v>819</v>
      </c>
      <c r="E249" t="s">
        <v>820</v>
      </c>
    </row>
    <row r="250" spans="1:5" x14ac:dyDescent="0.25">
      <c r="A250" t="s">
        <v>821</v>
      </c>
      <c r="B250">
        <v>-794</v>
      </c>
      <c r="C250">
        <v>-1921500</v>
      </c>
      <c r="D250" t="s">
        <v>822</v>
      </c>
      <c r="E250" t="s">
        <v>823</v>
      </c>
    </row>
    <row r="251" spans="1:5" x14ac:dyDescent="0.25">
      <c r="A251" t="s">
        <v>824</v>
      </c>
      <c r="B251">
        <v>414</v>
      </c>
      <c r="C251">
        <v>1120000</v>
      </c>
      <c r="D251" t="s">
        <v>825</v>
      </c>
      <c r="E251" t="s">
        <v>826</v>
      </c>
    </row>
    <row r="252" spans="1:5" x14ac:dyDescent="0.25">
      <c r="A252" t="s">
        <v>827</v>
      </c>
      <c r="B252">
        <v>-794</v>
      </c>
      <c r="C252">
        <v>-1921500</v>
      </c>
      <c r="D252" t="s">
        <v>828</v>
      </c>
      <c r="E252" t="s">
        <v>829</v>
      </c>
    </row>
    <row r="253" spans="1:5" x14ac:dyDescent="0.25">
      <c r="A253" t="s">
        <v>830</v>
      </c>
      <c r="B253">
        <v>414</v>
      </c>
      <c r="C253">
        <v>1120000</v>
      </c>
      <c r="D253" t="s">
        <v>831</v>
      </c>
      <c r="E253" t="s">
        <v>832</v>
      </c>
    </row>
    <row r="254" spans="1:5" x14ac:dyDescent="0.25">
      <c r="A254" t="s">
        <v>833</v>
      </c>
      <c r="B254">
        <v>414</v>
      </c>
      <c r="C254">
        <v>1120000</v>
      </c>
      <c r="D254" t="s">
        <v>834</v>
      </c>
      <c r="E254" t="s">
        <v>835</v>
      </c>
    </row>
    <row r="255" spans="1:5" x14ac:dyDescent="0.25">
      <c r="A255" t="s">
        <v>836</v>
      </c>
      <c r="B255">
        <v>-794</v>
      </c>
      <c r="C255">
        <v>-1921500</v>
      </c>
      <c r="D255" t="s">
        <v>837</v>
      </c>
      <c r="E255" t="s">
        <v>838</v>
      </c>
    </row>
    <row r="256" spans="1:5" x14ac:dyDescent="0.25">
      <c r="A256" t="s">
        <v>839</v>
      </c>
      <c r="B256">
        <v>-794</v>
      </c>
      <c r="C256">
        <v>-1921500</v>
      </c>
      <c r="D256" t="s">
        <v>840</v>
      </c>
      <c r="E256" t="s">
        <v>841</v>
      </c>
    </row>
    <row r="257" spans="1:5" x14ac:dyDescent="0.25">
      <c r="A257" t="s">
        <v>842</v>
      </c>
      <c r="B257">
        <v>-81</v>
      </c>
      <c r="C257">
        <v>-219000</v>
      </c>
      <c r="D257" t="s">
        <v>843</v>
      </c>
      <c r="E257" t="s">
        <v>844</v>
      </c>
    </row>
    <row r="258" spans="1:5" x14ac:dyDescent="0.25">
      <c r="A258" t="s">
        <v>845</v>
      </c>
      <c r="B258">
        <v>-794</v>
      </c>
      <c r="C258">
        <v>-1921500</v>
      </c>
      <c r="D258" t="s">
        <v>846</v>
      </c>
      <c r="E258" t="s">
        <v>847</v>
      </c>
    </row>
    <row r="259" spans="1:5" x14ac:dyDescent="0.25">
      <c r="A259" t="s">
        <v>848</v>
      </c>
      <c r="B259">
        <v>-794</v>
      </c>
      <c r="C259">
        <v>-1921500</v>
      </c>
      <c r="D259" t="s">
        <v>849</v>
      </c>
      <c r="E259" t="s">
        <v>850</v>
      </c>
    </row>
    <row r="260" spans="1:5" x14ac:dyDescent="0.25">
      <c r="A260" t="s">
        <v>851</v>
      </c>
      <c r="B260">
        <v>-794</v>
      </c>
      <c r="C260">
        <v>-1921500</v>
      </c>
      <c r="D260" t="s">
        <v>852</v>
      </c>
      <c r="E260" t="s">
        <v>853</v>
      </c>
    </row>
    <row r="261" spans="1:5" x14ac:dyDescent="0.25">
      <c r="A261" t="s">
        <v>854</v>
      </c>
      <c r="B261">
        <v>414</v>
      </c>
      <c r="C261">
        <v>1120000</v>
      </c>
      <c r="D261" t="s">
        <v>855</v>
      </c>
      <c r="E261" t="s">
        <v>856</v>
      </c>
    </row>
    <row r="262" spans="1:5" x14ac:dyDescent="0.25">
      <c r="A262" t="s">
        <v>857</v>
      </c>
      <c r="B262">
        <v>414</v>
      </c>
      <c r="C262">
        <v>1120000</v>
      </c>
      <c r="D262" t="s">
        <v>858</v>
      </c>
      <c r="E262" t="s">
        <v>859</v>
      </c>
    </row>
    <row r="263" spans="1:5" x14ac:dyDescent="0.25">
      <c r="A263" t="s">
        <v>860</v>
      </c>
      <c r="B263">
        <v>414</v>
      </c>
      <c r="C263">
        <v>1120000</v>
      </c>
      <c r="D263" t="s">
        <v>861</v>
      </c>
      <c r="E263" t="s">
        <v>862</v>
      </c>
    </row>
    <row r="264" spans="1:5" x14ac:dyDescent="0.25">
      <c r="A264" t="s">
        <v>863</v>
      </c>
      <c r="B264">
        <v>414</v>
      </c>
      <c r="C264">
        <v>1120000</v>
      </c>
      <c r="D264" t="s">
        <v>864</v>
      </c>
      <c r="E264" t="s">
        <v>865</v>
      </c>
    </row>
    <row r="265" spans="1:5" x14ac:dyDescent="0.25">
      <c r="A265" t="s">
        <v>866</v>
      </c>
      <c r="B265">
        <v>369</v>
      </c>
      <c r="C265">
        <v>997500</v>
      </c>
      <c r="D265" t="s">
        <v>867</v>
      </c>
      <c r="E265" t="s">
        <v>868</v>
      </c>
    </row>
    <row r="266" spans="1:5" x14ac:dyDescent="0.25">
      <c r="A266" t="s">
        <v>869</v>
      </c>
      <c r="B266">
        <v>369</v>
      </c>
      <c r="C266">
        <v>997500</v>
      </c>
      <c r="D266" t="s">
        <v>870</v>
      </c>
      <c r="E266" t="s">
        <v>871</v>
      </c>
    </row>
    <row r="267" spans="1:5" x14ac:dyDescent="0.25">
      <c r="A267" t="s">
        <v>872</v>
      </c>
      <c r="B267">
        <v>414</v>
      </c>
      <c r="C267">
        <v>1120000</v>
      </c>
      <c r="D267" t="s">
        <v>873</v>
      </c>
      <c r="E267" t="s">
        <v>874</v>
      </c>
    </row>
    <row r="268" spans="1:5" x14ac:dyDescent="0.25">
      <c r="A268" t="s">
        <v>875</v>
      </c>
      <c r="B268">
        <v>-794</v>
      </c>
      <c r="C268">
        <v>-1921500</v>
      </c>
      <c r="D268" t="s">
        <v>744</v>
      </c>
      <c r="E268" t="s">
        <v>876</v>
      </c>
    </row>
    <row r="269" spans="1:5" x14ac:dyDescent="0.25">
      <c r="A269" t="s">
        <v>877</v>
      </c>
      <c r="B269">
        <v>369</v>
      </c>
      <c r="C269">
        <v>997500</v>
      </c>
      <c r="D269" t="s">
        <v>878</v>
      </c>
      <c r="E269" t="s">
        <v>879</v>
      </c>
    </row>
    <row r="270" spans="1:5" x14ac:dyDescent="0.25">
      <c r="A270" t="s">
        <v>880</v>
      </c>
      <c r="B270">
        <v>414</v>
      </c>
      <c r="C270">
        <v>1120000</v>
      </c>
      <c r="D270" t="s">
        <v>881</v>
      </c>
      <c r="E270" t="s">
        <v>882</v>
      </c>
    </row>
    <row r="271" spans="1:5" x14ac:dyDescent="0.25">
      <c r="A271" t="s">
        <v>883</v>
      </c>
      <c r="B271">
        <v>414</v>
      </c>
      <c r="C271">
        <v>1120000</v>
      </c>
      <c r="D271" t="s">
        <v>884</v>
      </c>
      <c r="E271" t="s">
        <v>885</v>
      </c>
    </row>
    <row r="272" spans="1:5" x14ac:dyDescent="0.25">
      <c r="A272" t="s">
        <v>886</v>
      </c>
      <c r="B272">
        <v>414</v>
      </c>
      <c r="C272">
        <v>1120000</v>
      </c>
      <c r="D272" t="s">
        <v>887</v>
      </c>
      <c r="E272" t="s">
        <v>888</v>
      </c>
    </row>
    <row r="273" spans="1:5" x14ac:dyDescent="0.25">
      <c r="A273" t="s">
        <v>889</v>
      </c>
      <c r="B273">
        <v>-794</v>
      </c>
      <c r="C273">
        <v>-1921500</v>
      </c>
      <c r="D273" t="s">
        <v>890</v>
      </c>
      <c r="E273" t="s">
        <v>891</v>
      </c>
    </row>
    <row r="274" spans="1:5" x14ac:dyDescent="0.25">
      <c r="A274" t="s">
        <v>892</v>
      </c>
      <c r="B274">
        <v>369</v>
      </c>
      <c r="C274">
        <v>997500</v>
      </c>
    </row>
    <row r="275" spans="1:5" x14ac:dyDescent="0.25">
      <c r="A275" t="s">
        <v>893</v>
      </c>
      <c r="B275">
        <v>369</v>
      </c>
      <c r="C275">
        <v>997500</v>
      </c>
      <c r="D275" t="s">
        <v>894</v>
      </c>
      <c r="E275" t="s">
        <v>895</v>
      </c>
    </row>
    <row r="276" spans="1:5" x14ac:dyDescent="0.25">
      <c r="A276" t="s">
        <v>896</v>
      </c>
      <c r="B276">
        <v>414</v>
      </c>
      <c r="C276">
        <v>1120000</v>
      </c>
      <c r="D276" t="s">
        <v>897</v>
      </c>
      <c r="E276" t="s">
        <v>898</v>
      </c>
    </row>
    <row r="277" spans="1:5" x14ac:dyDescent="0.25">
      <c r="A277" t="s">
        <v>899</v>
      </c>
      <c r="B277">
        <v>414</v>
      </c>
      <c r="C277">
        <v>1120000</v>
      </c>
      <c r="D277" t="s">
        <v>900</v>
      </c>
      <c r="E277" t="s">
        <v>901</v>
      </c>
    </row>
    <row r="278" spans="1:5" x14ac:dyDescent="0.25">
      <c r="A278" t="s">
        <v>902</v>
      </c>
      <c r="B278">
        <v>414</v>
      </c>
      <c r="C278">
        <v>1120000</v>
      </c>
      <c r="D278" t="s">
        <v>903</v>
      </c>
      <c r="E278" t="s">
        <v>904</v>
      </c>
    </row>
    <row r="279" spans="1:5" x14ac:dyDescent="0.25">
      <c r="A279" t="s">
        <v>905</v>
      </c>
      <c r="B279">
        <v>414</v>
      </c>
      <c r="C279">
        <v>1120000</v>
      </c>
      <c r="D279" t="s">
        <v>906</v>
      </c>
      <c r="E279" t="s">
        <v>907</v>
      </c>
    </row>
    <row r="280" spans="1:5" x14ac:dyDescent="0.25">
      <c r="A280" t="s">
        <v>908</v>
      </c>
      <c r="B280">
        <v>414</v>
      </c>
      <c r="C280">
        <v>1120000</v>
      </c>
      <c r="D280" t="s">
        <v>909</v>
      </c>
      <c r="E280" t="s">
        <v>910</v>
      </c>
    </row>
    <row r="281" spans="1:5" x14ac:dyDescent="0.25">
      <c r="A281" t="s">
        <v>911</v>
      </c>
      <c r="B281">
        <v>414</v>
      </c>
      <c r="C281">
        <v>1120000</v>
      </c>
      <c r="D281" t="s">
        <v>912</v>
      </c>
      <c r="E281" t="s">
        <v>913</v>
      </c>
    </row>
    <row r="282" spans="1:5" x14ac:dyDescent="0.25">
      <c r="A282" t="s">
        <v>914</v>
      </c>
      <c r="B282">
        <v>-794</v>
      </c>
      <c r="C282">
        <v>-1921500</v>
      </c>
      <c r="D282" t="s">
        <v>915</v>
      </c>
      <c r="E282" t="s">
        <v>916</v>
      </c>
    </row>
    <row r="283" spans="1:5" x14ac:dyDescent="0.25">
      <c r="A283" t="s">
        <v>917</v>
      </c>
      <c r="B283">
        <v>414</v>
      </c>
      <c r="C283">
        <v>1120000</v>
      </c>
      <c r="D283" t="s">
        <v>918</v>
      </c>
      <c r="E283" t="s">
        <v>919</v>
      </c>
    </row>
    <row r="284" spans="1:5" x14ac:dyDescent="0.25">
      <c r="A284" t="s">
        <v>920</v>
      </c>
      <c r="B284">
        <v>369</v>
      </c>
      <c r="C284">
        <v>997500</v>
      </c>
      <c r="D284" t="s">
        <v>921</v>
      </c>
      <c r="E284" t="s">
        <v>922</v>
      </c>
    </row>
    <row r="285" spans="1:5" x14ac:dyDescent="0.25">
      <c r="A285" t="s">
        <v>923</v>
      </c>
      <c r="B285">
        <v>414</v>
      </c>
      <c r="C285">
        <v>1120000</v>
      </c>
      <c r="D285" t="s">
        <v>924</v>
      </c>
      <c r="E285" t="s">
        <v>925</v>
      </c>
    </row>
    <row r="286" spans="1:5" x14ac:dyDescent="0.25">
      <c r="A286" t="s">
        <v>926</v>
      </c>
      <c r="B286">
        <v>414</v>
      </c>
      <c r="C286">
        <v>1120000</v>
      </c>
      <c r="D286" t="s">
        <v>927</v>
      </c>
      <c r="E286" t="s">
        <v>928</v>
      </c>
    </row>
    <row r="287" spans="1:5" x14ac:dyDescent="0.25">
      <c r="A287" t="s">
        <v>929</v>
      </c>
      <c r="B287">
        <v>414</v>
      </c>
      <c r="C287">
        <v>1120000</v>
      </c>
      <c r="D287" t="s">
        <v>930</v>
      </c>
      <c r="E287" t="s">
        <v>931</v>
      </c>
    </row>
    <row r="288" spans="1:5" x14ac:dyDescent="0.25">
      <c r="A288" t="s">
        <v>932</v>
      </c>
      <c r="B288">
        <v>414</v>
      </c>
      <c r="C288">
        <v>1120000</v>
      </c>
      <c r="D288" t="s">
        <v>933</v>
      </c>
      <c r="E288" t="s">
        <v>934</v>
      </c>
    </row>
    <row r="289" spans="1:5" x14ac:dyDescent="0.25">
      <c r="A289" t="s">
        <v>935</v>
      </c>
      <c r="B289">
        <v>-794</v>
      </c>
      <c r="C289">
        <v>-1921500</v>
      </c>
      <c r="D289" t="s">
        <v>936</v>
      </c>
      <c r="E289" t="s">
        <v>937</v>
      </c>
    </row>
    <row r="290" spans="1:5" x14ac:dyDescent="0.25">
      <c r="A290" t="s">
        <v>938</v>
      </c>
      <c r="B290">
        <v>414</v>
      </c>
      <c r="C290">
        <v>1120000</v>
      </c>
      <c r="D290" t="s">
        <v>939</v>
      </c>
      <c r="E290" t="s">
        <v>940</v>
      </c>
    </row>
    <row r="291" spans="1:5" x14ac:dyDescent="0.25">
      <c r="A291" t="s">
        <v>941</v>
      </c>
      <c r="B291">
        <v>414</v>
      </c>
      <c r="C291">
        <v>1120000</v>
      </c>
      <c r="D291" t="s">
        <v>942</v>
      </c>
      <c r="E291" t="s">
        <v>943</v>
      </c>
    </row>
    <row r="292" spans="1:5" x14ac:dyDescent="0.25">
      <c r="A292" t="s">
        <v>944</v>
      </c>
      <c r="B292">
        <v>414</v>
      </c>
      <c r="C292">
        <v>1120000</v>
      </c>
      <c r="D292" t="s">
        <v>945</v>
      </c>
      <c r="E292" t="s">
        <v>946</v>
      </c>
    </row>
    <row r="293" spans="1:5" x14ac:dyDescent="0.25">
      <c r="A293" t="s">
        <v>947</v>
      </c>
      <c r="B293">
        <v>414</v>
      </c>
      <c r="C293">
        <v>1120000</v>
      </c>
      <c r="D293" t="s">
        <v>948</v>
      </c>
      <c r="E293" t="s">
        <v>949</v>
      </c>
    </row>
    <row r="294" spans="1:5" x14ac:dyDescent="0.25">
      <c r="A294" t="s">
        <v>950</v>
      </c>
      <c r="B294">
        <v>414</v>
      </c>
      <c r="C294">
        <v>1120000</v>
      </c>
      <c r="D294" t="s">
        <v>951</v>
      </c>
      <c r="E294" t="s">
        <v>952</v>
      </c>
    </row>
    <row r="295" spans="1:5" x14ac:dyDescent="0.25">
      <c r="A295" t="s">
        <v>953</v>
      </c>
      <c r="B295">
        <v>414</v>
      </c>
      <c r="C295">
        <v>1120000</v>
      </c>
      <c r="D295" t="s">
        <v>954</v>
      </c>
      <c r="E295" t="s">
        <v>955</v>
      </c>
    </row>
    <row r="296" spans="1:5" x14ac:dyDescent="0.25">
      <c r="A296" t="s">
        <v>956</v>
      </c>
      <c r="B296">
        <v>414</v>
      </c>
      <c r="C296">
        <v>1120000</v>
      </c>
      <c r="D296" t="s">
        <v>957</v>
      </c>
      <c r="E296" t="s">
        <v>958</v>
      </c>
    </row>
    <row r="297" spans="1:5" x14ac:dyDescent="0.25">
      <c r="A297" t="s">
        <v>959</v>
      </c>
      <c r="B297">
        <v>369</v>
      </c>
      <c r="C297">
        <v>997500</v>
      </c>
      <c r="D297" t="s">
        <v>960</v>
      </c>
      <c r="E297" t="s">
        <v>961</v>
      </c>
    </row>
    <row r="298" spans="1:5" x14ac:dyDescent="0.25">
      <c r="A298" t="s">
        <v>962</v>
      </c>
      <c r="B298">
        <v>414</v>
      </c>
      <c r="C298">
        <v>1120000</v>
      </c>
      <c r="D298" t="s">
        <v>963</v>
      </c>
      <c r="E298" t="s">
        <v>964</v>
      </c>
    </row>
    <row r="299" spans="1:5" x14ac:dyDescent="0.25">
      <c r="A299" t="s">
        <v>965</v>
      </c>
      <c r="B299">
        <v>414</v>
      </c>
      <c r="C299">
        <v>1120000</v>
      </c>
      <c r="D299" t="s">
        <v>966</v>
      </c>
      <c r="E299" t="s">
        <v>967</v>
      </c>
    </row>
    <row r="300" spans="1:5" x14ac:dyDescent="0.25">
      <c r="A300" t="s">
        <v>968</v>
      </c>
      <c r="B300">
        <v>414</v>
      </c>
      <c r="C300">
        <v>1120000</v>
      </c>
      <c r="D300" t="s">
        <v>969</v>
      </c>
      <c r="E300" t="s">
        <v>970</v>
      </c>
    </row>
    <row r="301" spans="1:5" x14ac:dyDescent="0.25">
      <c r="A301" t="s">
        <v>971</v>
      </c>
      <c r="B301">
        <v>414</v>
      </c>
      <c r="C301">
        <v>1120000</v>
      </c>
      <c r="D301" t="s">
        <v>972</v>
      </c>
      <c r="E301" t="s">
        <v>973</v>
      </c>
    </row>
    <row r="302" spans="1:5" x14ac:dyDescent="0.25">
      <c r="A302" t="s">
        <v>974</v>
      </c>
      <c r="B302">
        <v>-714</v>
      </c>
      <c r="C302">
        <v>-1702500</v>
      </c>
      <c r="D302" t="s">
        <v>975</v>
      </c>
      <c r="E302" t="s">
        <v>976</v>
      </c>
    </row>
    <row r="303" spans="1:5" x14ac:dyDescent="0.25">
      <c r="A303" t="s">
        <v>977</v>
      </c>
      <c r="B303">
        <v>414</v>
      </c>
      <c r="C303">
        <v>1120000</v>
      </c>
      <c r="D303" t="s">
        <v>978</v>
      </c>
      <c r="E303" t="s">
        <v>979</v>
      </c>
    </row>
    <row r="304" spans="1:5" x14ac:dyDescent="0.25">
      <c r="A304" t="s">
        <v>980</v>
      </c>
      <c r="B304">
        <v>414</v>
      </c>
      <c r="C304">
        <v>1120000</v>
      </c>
      <c r="D304" t="s">
        <v>981</v>
      </c>
      <c r="E304" t="s">
        <v>982</v>
      </c>
    </row>
    <row r="305" spans="1:5" x14ac:dyDescent="0.25">
      <c r="A305" t="s">
        <v>983</v>
      </c>
      <c r="B305">
        <v>414</v>
      </c>
      <c r="C305">
        <v>1120000</v>
      </c>
      <c r="D305" t="s">
        <v>984</v>
      </c>
      <c r="E305" t="s">
        <v>985</v>
      </c>
    </row>
    <row r="306" spans="1:5" x14ac:dyDescent="0.25">
      <c r="A306" t="s">
        <v>986</v>
      </c>
      <c r="B306">
        <v>414</v>
      </c>
      <c r="C306">
        <v>1120000</v>
      </c>
      <c r="D306" t="s">
        <v>987</v>
      </c>
      <c r="E306" t="s">
        <v>988</v>
      </c>
    </row>
    <row r="307" spans="1:5" x14ac:dyDescent="0.25">
      <c r="A307" t="s">
        <v>989</v>
      </c>
      <c r="B307">
        <v>414</v>
      </c>
      <c r="C307">
        <v>1120000</v>
      </c>
      <c r="D307" t="s">
        <v>990</v>
      </c>
      <c r="E307" t="s">
        <v>991</v>
      </c>
    </row>
    <row r="308" spans="1:5" x14ac:dyDescent="0.25">
      <c r="A308" t="s">
        <v>992</v>
      </c>
      <c r="B308">
        <v>414</v>
      </c>
      <c r="C308">
        <v>1120000</v>
      </c>
      <c r="D308" t="s">
        <v>993</v>
      </c>
      <c r="E308" t="s">
        <v>994</v>
      </c>
    </row>
    <row r="309" spans="1:5" x14ac:dyDescent="0.25">
      <c r="A309" t="s">
        <v>995</v>
      </c>
      <c r="B309">
        <v>414</v>
      </c>
      <c r="C309">
        <v>1120000</v>
      </c>
      <c r="D309" t="s">
        <v>996</v>
      </c>
      <c r="E309" t="s">
        <v>997</v>
      </c>
    </row>
    <row r="310" spans="1:5" x14ac:dyDescent="0.25">
      <c r="A310" t="s">
        <v>998</v>
      </c>
      <c r="B310">
        <v>414</v>
      </c>
      <c r="C310">
        <v>1120000</v>
      </c>
      <c r="D310" t="s">
        <v>999</v>
      </c>
      <c r="E310" t="s">
        <v>1000</v>
      </c>
    </row>
    <row r="311" spans="1:5" x14ac:dyDescent="0.25">
      <c r="A311" t="s">
        <v>1001</v>
      </c>
      <c r="B311">
        <v>-794</v>
      </c>
      <c r="C311">
        <v>-1921500</v>
      </c>
      <c r="D311" t="s">
        <v>1002</v>
      </c>
      <c r="E311" t="s">
        <v>1003</v>
      </c>
    </row>
    <row r="312" spans="1:5" x14ac:dyDescent="0.25">
      <c r="A312" t="s">
        <v>1004</v>
      </c>
      <c r="B312">
        <v>414</v>
      </c>
      <c r="C312">
        <v>1120000</v>
      </c>
      <c r="D312" t="s">
        <v>1005</v>
      </c>
      <c r="E312" t="s">
        <v>1006</v>
      </c>
    </row>
    <row r="313" spans="1:5" x14ac:dyDescent="0.25">
      <c r="A313" t="s">
        <v>1007</v>
      </c>
      <c r="B313">
        <v>414</v>
      </c>
      <c r="C313">
        <v>1120000</v>
      </c>
      <c r="D313" t="s">
        <v>1008</v>
      </c>
      <c r="E313" t="s">
        <v>1009</v>
      </c>
    </row>
    <row r="314" spans="1:5" x14ac:dyDescent="0.25">
      <c r="A314" t="s">
        <v>1010</v>
      </c>
      <c r="B314">
        <v>-714</v>
      </c>
      <c r="C314">
        <v>-1702500</v>
      </c>
      <c r="D314" t="s">
        <v>843</v>
      </c>
      <c r="E314" t="s">
        <v>844</v>
      </c>
    </row>
    <row r="315" spans="1:5" x14ac:dyDescent="0.25">
      <c r="A315" t="s">
        <v>1011</v>
      </c>
      <c r="B315">
        <v>369</v>
      </c>
      <c r="C315">
        <v>997500</v>
      </c>
      <c r="D315" t="s">
        <v>1012</v>
      </c>
      <c r="E315" t="s">
        <v>1013</v>
      </c>
    </row>
    <row r="316" spans="1:5" x14ac:dyDescent="0.25">
      <c r="A316" t="s">
        <v>1014</v>
      </c>
      <c r="B316">
        <v>-794</v>
      </c>
      <c r="C316">
        <v>-1921500</v>
      </c>
      <c r="D316" t="s">
        <v>1015</v>
      </c>
      <c r="E316" t="s">
        <v>1016</v>
      </c>
    </row>
    <row r="317" spans="1:5" x14ac:dyDescent="0.25">
      <c r="A317" t="s">
        <v>1017</v>
      </c>
      <c r="B317">
        <v>-794</v>
      </c>
      <c r="C317">
        <v>-1921500</v>
      </c>
      <c r="D317" t="s">
        <v>1018</v>
      </c>
      <c r="E317" t="s">
        <v>1019</v>
      </c>
    </row>
    <row r="318" spans="1:5" x14ac:dyDescent="0.25">
      <c r="A318" t="s">
        <v>1020</v>
      </c>
      <c r="B318">
        <v>414</v>
      </c>
      <c r="C318">
        <v>1120000</v>
      </c>
      <c r="D318" t="s">
        <v>1021</v>
      </c>
      <c r="E318" t="s">
        <v>1022</v>
      </c>
    </row>
    <row r="319" spans="1:5" x14ac:dyDescent="0.25">
      <c r="A319" t="s">
        <v>1023</v>
      </c>
      <c r="B319">
        <v>-794</v>
      </c>
      <c r="C319">
        <v>-1921500</v>
      </c>
      <c r="D319" t="s">
        <v>1024</v>
      </c>
      <c r="E319" t="s">
        <v>1025</v>
      </c>
    </row>
    <row r="320" spans="1:5" x14ac:dyDescent="0.25">
      <c r="A320" t="s">
        <v>1026</v>
      </c>
      <c r="B320">
        <v>-794</v>
      </c>
      <c r="C320">
        <v>-1921500</v>
      </c>
      <c r="D320" t="s">
        <v>1027</v>
      </c>
      <c r="E320" t="s">
        <v>1028</v>
      </c>
    </row>
    <row r="321" spans="1:5" x14ac:dyDescent="0.25">
      <c r="A321" t="s">
        <v>1029</v>
      </c>
      <c r="B321">
        <v>369</v>
      </c>
      <c r="C321">
        <v>997500</v>
      </c>
      <c r="D321" t="s">
        <v>1030</v>
      </c>
      <c r="E321" t="s">
        <v>1031</v>
      </c>
    </row>
    <row r="322" spans="1:5" x14ac:dyDescent="0.25">
      <c r="A322" t="s">
        <v>1032</v>
      </c>
      <c r="B322">
        <v>-794</v>
      </c>
      <c r="C322">
        <v>-1921500</v>
      </c>
      <c r="D322" t="s">
        <v>1033</v>
      </c>
      <c r="E322" t="s">
        <v>1034</v>
      </c>
    </row>
    <row r="323" spans="1:5" x14ac:dyDescent="0.25">
      <c r="A323" t="s">
        <v>1035</v>
      </c>
      <c r="B323">
        <v>-794</v>
      </c>
      <c r="C323">
        <v>-1921500</v>
      </c>
      <c r="D323" t="s">
        <v>1036</v>
      </c>
      <c r="E323" t="s">
        <v>1037</v>
      </c>
    </row>
    <row r="324" spans="1:5" x14ac:dyDescent="0.25">
      <c r="A324" t="s">
        <v>1038</v>
      </c>
      <c r="B324">
        <v>-794</v>
      </c>
      <c r="C324">
        <v>-1921500</v>
      </c>
      <c r="D324" t="s">
        <v>1039</v>
      </c>
      <c r="E324" t="s">
        <v>1040</v>
      </c>
    </row>
    <row r="325" spans="1:5" x14ac:dyDescent="0.25">
      <c r="A325" t="s">
        <v>1041</v>
      </c>
      <c r="B325">
        <v>-794</v>
      </c>
      <c r="C325">
        <v>-1921500</v>
      </c>
      <c r="D325" t="s">
        <v>1042</v>
      </c>
      <c r="E325" t="s">
        <v>1043</v>
      </c>
    </row>
    <row r="326" spans="1:5" x14ac:dyDescent="0.25">
      <c r="A326" t="s">
        <v>1044</v>
      </c>
      <c r="B326">
        <v>414</v>
      </c>
      <c r="C326">
        <v>1120000</v>
      </c>
      <c r="D326" t="s">
        <v>1045</v>
      </c>
      <c r="E326" t="s">
        <v>1046</v>
      </c>
    </row>
    <row r="327" spans="1:5" x14ac:dyDescent="0.25">
      <c r="A327" t="s">
        <v>1047</v>
      </c>
      <c r="B327">
        <v>369</v>
      </c>
      <c r="C327">
        <v>997500</v>
      </c>
      <c r="D327" t="s">
        <v>1048</v>
      </c>
      <c r="E327" t="s">
        <v>1049</v>
      </c>
    </row>
    <row r="328" spans="1:5" x14ac:dyDescent="0.25">
      <c r="A328" t="s">
        <v>1050</v>
      </c>
      <c r="B328">
        <v>-714</v>
      </c>
      <c r="C328">
        <v>-1702500</v>
      </c>
      <c r="D328" t="s">
        <v>1051</v>
      </c>
      <c r="E328" t="s">
        <v>1052</v>
      </c>
    </row>
    <row r="329" spans="1:5" x14ac:dyDescent="0.25">
      <c r="A329" t="s">
        <v>1053</v>
      </c>
      <c r="B329">
        <v>414</v>
      </c>
      <c r="C329">
        <v>1120000</v>
      </c>
      <c r="D329" t="s">
        <v>1054</v>
      </c>
      <c r="E329" t="s">
        <v>1055</v>
      </c>
    </row>
    <row r="330" spans="1:5" x14ac:dyDescent="0.25">
      <c r="A330" t="s">
        <v>1056</v>
      </c>
      <c r="B330">
        <v>369</v>
      </c>
      <c r="C330">
        <v>997500</v>
      </c>
      <c r="D330" t="s">
        <v>1057</v>
      </c>
      <c r="E330" t="s">
        <v>1058</v>
      </c>
    </row>
    <row r="331" spans="1:5" x14ac:dyDescent="0.25">
      <c r="A331" t="s">
        <v>1059</v>
      </c>
      <c r="B331">
        <v>369</v>
      </c>
      <c r="C331">
        <v>997500</v>
      </c>
      <c r="D331" t="s">
        <v>1060</v>
      </c>
      <c r="E331" t="s">
        <v>1061</v>
      </c>
    </row>
    <row r="332" spans="1:5" x14ac:dyDescent="0.25">
      <c r="A332" t="s">
        <v>1062</v>
      </c>
      <c r="B332">
        <v>369</v>
      </c>
      <c r="C332">
        <v>997500</v>
      </c>
      <c r="D332" t="s">
        <v>1063</v>
      </c>
      <c r="E332" t="s">
        <v>1064</v>
      </c>
    </row>
    <row r="333" spans="1:5" x14ac:dyDescent="0.25">
      <c r="A333" t="s">
        <v>1065</v>
      </c>
      <c r="B333">
        <v>414</v>
      </c>
      <c r="C333">
        <v>1120000</v>
      </c>
      <c r="D333" t="s">
        <v>1066</v>
      </c>
      <c r="E333" t="s">
        <v>1067</v>
      </c>
    </row>
    <row r="334" spans="1:5" x14ac:dyDescent="0.25">
      <c r="A334" t="s">
        <v>1068</v>
      </c>
      <c r="B334">
        <v>-794</v>
      </c>
      <c r="C334">
        <v>-1921500</v>
      </c>
      <c r="D334" t="s">
        <v>1069</v>
      </c>
      <c r="E334" t="s">
        <v>1070</v>
      </c>
    </row>
    <row r="335" spans="1:5" x14ac:dyDescent="0.25">
      <c r="A335" t="s">
        <v>1071</v>
      </c>
      <c r="B335">
        <v>-794</v>
      </c>
      <c r="C335">
        <v>-1921500</v>
      </c>
      <c r="D335" t="s">
        <v>1072</v>
      </c>
      <c r="E335" t="s">
        <v>1073</v>
      </c>
    </row>
    <row r="336" spans="1:5" x14ac:dyDescent="0.25">
      <c r="A336" t="s">
        <v>1074</v>
      </c>
      <c r="B336">
        <v>-794</v>
      </c>
      <c r="C336">
        <v>-1921500</v>
      </c>
      <c r="D336" t="s">
        <v>1075</v>
      </c>
      <c r="E336" t="s">
        <v>1076</v>
      </c>
    </row>
    <row r="337" spans="1:5" x14ac:dyDescent="0.25">
      <c r="A337" t="s">
        <v>1077</v>
      </c>
      <c r="B337">
        <v>414</v>
      </c>
      <c r="C337">
        <v>1120000</v>
      </c>
      <c r="D337" t="s">
        <v>1078</v>
      </c>
      <c r="E337" t="s">
        <v>1079</v>
      </c>
    </row>
    <row r="338" spans="1:5" x14ac:dyDescent="0.25">
      <c r="A338" t="s">
        <v>1080</v>
      </c>
      <c r="B338">
        <v>414</v>
      </c>
      <c r="C338">
        <v>1120000</v>
      </c>
      <c r="D338" t="s">
        <v>1081</v>
      </c>
      <c r="E338" t="s">
        <v>1082</v>
      </c>
    </row>
    <row r="339" spans="1:5" x14ac:dyDescent="0.25">
      <c r="A339" t="s">
        <v>1083</v>
      </c>
      <c r="B339">
        <v>369</v>
      </c>
      <c r="C339">
        <v>997500</v>
      </c>
      <c r="D339" t="s">
        <v>1084</v>
      </c>
      <c r="E339" t="s">
        <v>1085</v>
      </c>
    </row>
    <row r="340" spans="1:5" x14ac:dyDescent="0.25">
      <c r="A340" t="s">
        <v>1086</v>
      </c>
      <c r="B340">
        <v>414</v>
      </c>
      <c r="C340">
        <v>1120000</v>
      </c>
      <c r="D340" t="s">
        <v>1087</v>
      </c>
      <c r="E340" t="s">
        <v>1088</v>
      </c>
    </row>
    <row r="341" spans="1:5" x14ac:dyDescent="0.25">
      <c r="A341" t="s">
        <v>1089</v>
      </c>
      <c r="B341">
        <v>414</v>
      </c>
      <c r="C341">
        <v>1120000</v>
      </c>
      <c r="D341" t="s">
        <v>1090</v>
      </c>
      <c r="E341" t="s">
        <v>1091</v>
      </c>
    </row>
    <row r="342" spans="1:5" x14ac:dyDescent="0.25">
      <c r="A342" t="s">
        <v>1092</v>
      </c>
      <c r="B342">
        <v>369</v>
      </c>
      <c r="C342">
        <v>997500</v>
      </c>
      <c r="D342" t="s">
        <v>1093</v>
      </c>
      <c r="E342" t="s">
        <v>1094</v>
      </c>
    </row>
    <row r="343" spans="1:5" x14ac:dyDescent="0.25">
      <c r="A343" t="s">
        <v>1095</v>
      </c>
      <c r="B343">
        <v>0</v>
      </c>
      <c r="C343">
        <v>0</v>
      </c>
      <c r="D343" t="s">
        <v>1096</v>
      </c>
      <c r="E343" t="s">
        <v>1097</v>
      </c>
    </row>
    <row r="344" spans="1:5" x14ac:dyDescent="0.25">
      <c r="A344" t="s">
        <v>1098</v>
      </c>
      <c r="B344">
        <v>369</v>
      </c>
      <c r="C344">
        <v>997500</v>
      </c>
      <c r="D344" t="s">
        <v>1099</v>
      </c>
      <c r="E344" t="s">
        <v>1100</v>
      </c>
    </row>
    <row r="345" spans="1:5" x14ac:dyDescent="0.25">
      <c r="A345" t="s">
        <v>1101</v>
      </c>
      <c r="B345">
        <v>369</v>
      </c>
      <c r="C345">
        <v>997500</v>
      </c>
      <c r="D345" t="s">
        <v>1102</v>
      </c>
      <c r="E345" t="s">
        <v>1103</v>
      </c>
    </row>
    <row r="346" spans="1:5" x14ac:dyDescent="0.25">
      <c r="A346" t="s">
        <v>1104</v>
      </c>
      <c r="B346">
        <v>369</v>
      </c>
      <c r="C346">
        <v>997500</v>
      </c>
      <c r="D346" t="s">
        <v>1105</v>
      </c>
      <c r="E346" t="s">
        <v>1106</v>
      </c>
    </row>
    <row r="347" spans="1:5" x14ac:dyDescent="0.25">
      <c r="A347" t="s">
        <v>1107</v>
      </c>
      <c r="B347">
        <v>369</v>
      </c>
      <c r="C347">
        <v>997500</v>
      </c>
      <c r="D347" t="s">
        <v>1108</v>
      </c>
      <c r="E347" t="s">
        <v>1109</v>
      </c>
    </row>
    <row r="348" spans="1:5" x14ac:dyDescent="0.25">
      <c r="A348" t="s">
        <v>1110</v>
      </c>
      <c r="B348">
        <v>369</v>
      </c>
      <c r="C348">
        <v>997500</v>
      </c>
      <c r="D348" t="s">
        <v>1111</v>
      </c>
      <c r="E348" t="s">
        <v>1112</v>
      </c>
    </row>
    <row r="349" spans="1:5" x14ac:dyDescent="0.25">
      <c r="A349" t="s">
        <v>1113</v>
      </c>
      <c r="B349">
        <v>369</v>
      </c>
      <c r="C349">
        <v>997500</v>
      </c>
      <c r="D349" t="s">
        <v>1114</v>
      </c>
      <c r="E349" t="s">
        <v>1115</v>
      </c>
    </row>
    <row r="350" spans="1:5" x14ac:dyDescent="0.25">
      <c r="A350" t="s">
        <v>1116</v>
      </c>
      <c r="B350">
        <v>369</v>
      </c>
      <c r="C350">
        <v>997500</v>
      </c>
    </row>
    <row r="351" spans="1:5" x14ac:dyDescent="0.25">
      <c r="A351" t="s">
        <v>1117</v>
      </c>
      <c r="B351">
        <v>369</v>
      </c>
      <c r="C351">
        <v>997500</v>
      </c>
      <c r="D351" t="s">
        <v>1118</v>
      </c>
      <c r="E351" t="s">
        <v>1119</v>
      </c>
    </row>
    <row r="352" spans="1:5" x14ac:dyDescent="0.25">
      <c r="A352" t="s">
        <v>1120</v>
      </c>
      <c r="B352">
        <v>-794</v>
      </c>
      <c r="C352">
        <v>-1921500</v>
      </c>
      <c r="D352" t="s">
        <v>1121</v>
      </c>
      <c r="E352" t="s">
        <v>1122</v>
      </c>
    </row>
    <row r="353" spans="1:5" x14ac:dyDescent="0.25">
      <c r="A353" t="s">
        <v>1123</v>
      </c>
      <c r="B353">
        <v>369</v>
      </c>
      <c r="C353">
        <v>997500</v>
      </c>
      <c r="D353" t="s">
        <v>1124</v>
      </c>
      <c r="E353" t="s">
        <v>1125</v>
      </c>
    </row>
    <row r="354" spans="1:5" x14ac:dyDescent="0.25">
      <c r="A354" t="s">
        <v>1126</v>
      </c>
      <c r="B354">
        <v>414</v>
      </c>
      <c r="C354">
        <v>1120000</v>
      </c>
      <c r="D354" t="s">
        <v>1127</v>
      </c>
      <c r="E354" t="s">
        <v>1128</v>
      </c>
    </row>
    <row r="355" spans="1:5" x14ac:dyDescent="0.25">
      <c r="A355" t="s">
        <v>1129</v>
      </c>
      <c r="B355">
        <v>369</v>
      </c>
      <c r="C355">
        <v>997500</v>
      </c>
      <c r="D355" t="s">
        <v>1130</v>
      </c>
      <c r="E355" t="s">
        <v>1131</v>
      </c>
    </row>
    <row r="356" spans="1:5" x14ac:dyDescent="0.25">
      <c r="A356" t="s">
        <v>1132</v>
      </c>
      <c r="B356">
        <v>-794</v>
      </c>
      <c r="C356">
        <v>-1921500</v>
      </c>
      <c r="D356" t="s">
        <v>1133</v>
      </c>
      <c r="E356" t="s">
        <v>1134</v>
      </c>
    </row>
    <row r="357" spans="1:5" x14ac:dyDescent="0.25">
      <c r="A357" t="s">
        <v>1135</v>
      </c>
      <c r="B357">
        <v>-794</v>
      </c>
      <c r="C357">
        <v>-1921500</v>
      </c>
      <c r="D357" t="s">
        <v>1136</v>
      </c>
      <c r="E357" t="s">
        <v>1137</v>
      </c>
    </row>
    <row r="358" spans="1:5" x14ac:dyDescent="0.25">
      <c r="A358" t="s">
        <v>1138</v>
      </c>
      <c r="B358">
        <v>414</v>
      </c>
      <c r="C358">
        <v>1120000</v>
      </c>
      <c r="D358" t="s">
        <v>1139</v>
      </c>
      <c r="E358" t="s">
        <v>1140</v>
      </c>
    </row>
    <row r="359" spans="1:5" x14ac:dyDescent="0.25">
      <c r="A359" t="s">
        <v>1141</v>
      </c>
      <c r="B359">
        <v>-794</v>
      </c>
      <c r="C359">
        <v>-1921500</v>
      </c>
      <c r="D359" t="s">
        <v>1142</v>
      </c>
      <c r="E359" t="s">
        <v>1143</v>
      </c>
    </row>
    <row r="360" spans="1:5" x14ac:dyDescent="0.25">
      <c r="A360" t="s">
        <v>1144</v>
      </c>
      <c r="B360">
        <v>369</v>
      </c>
      <c r="C360">
        <v>997500</v>
      </c>
      <c r="D360" t="s">
        <v>1145</v>
      </c>
      <c r="E360" t="s">
        <v>1146</v>
      </c>
    </row>
    <row r="361" spans="1:5" x14ac:dyDescent="0.25">
      <c r="A361" t="s">
        <v>1147</v>
      </c>
      <c r="B361">
        <v>369</v>
      </c>
      <c r="C361">
        <v>997500</v>
      </c>
      <c r="D361" t="s">
        <v>1148</v>
      </c>
      <c r="E361" t="s">
        <v>1149</v>
      </c>
    </row>
    <row r="362" spans="1:5" x14ac:dyDescent="0.25">
      <c r="A362" t="s">
        <v>1150</v>
      </c>
      <c r="B362">
        <v>369</v>
      </c>
      <c r="C362">
        <v>997500</v>
      </c>
      <c r="D362" t="s">
        <v>1151</v>
      </c>
      <c r="E362" t="s">
        <v>1152</v>
      </c>
    </row>
    <row r="363" spans="1:5" x14ac:dyDescent="0.25">
      <c r="A363" t="s">
        <v>1153</v>
      </c>
      <c r="B363">
        <v>414</v>
      </c>
      <c r="C363">
        <v>1120000</v>
      </c>
      <c r="D363" t="s">
        <v>1154</v>
      </c>
      <c r="E363" t="s">
        <v>1155</v>
      </c>
    </row>
    <row r="364" spans="1:5" x14ac:dyDescent="0.25">
      <c r="A364" t="s">
        <v>1156</v>
      </c>
      <c r="B364">
        <v>414</v>
      </c>
      <c r="C364">
        <v>1120000</v>
      </c>
      <c r="D364" t="s">
        <v>1157</v>
      </c>
      <c r="E364" t="s">
        <v>1158</v>
      </c>
    </row>
    <row r="365" spans="1:5" x14ac:dyDescent="0.25">
      <c r="A365" t="s">
        <v>1159</v>
      </c>
      <c r="B365">
        <v>369</v>
      </c>
      <c r="C365">
        <v>997500</v>
      </c>
      <c r="D365" t="s">
        <v>1160</v>
      </c>
      <c r="E365" t="s">
        <v>1161</v>
      </c>
    </row>
    <row r="366" spans="1:5" x14ac:dyDescent="0.25">
      <c r="A366" t="s">
        <v>1162</v>
      </c>
      <c r="B366">
        <v>0</v>
      </c>
      <c r="C366">
        <v>0</v>
      </c>
      <c r="D366" t="s">
        <v>1163</v>
      </c>
      <c r="E366" t="s">
        <v>1164</v>
      </c>
    </row>
    <row r="367" spans="1:5" x14ac:dyDescent="0.25">
      <c r="A367" t="s">
        <v>1165</v>
      </c>
      <c r="B367">
        <v>369</v>
      </c>
      <c r="C367">
        <v>997500</v>
      </c>
      <c r="D367" t="s">
        <v>1166</v>
      </c>
      <c r="E367" t="s">
        <v>1167</v>
      </c>
    </row>
    <row r="368" spans="1:5" x14ac:dyDescent="0.25">
      <c r="A368" t="s">
        <v>1168</v>
      </c>
      <c r="B368">
        <v>369</v>
      </c>
      <c r="C368">
        <v>997500</v>
      </c>
      <c r="D368" t="s">
        <v>1169</v>
      </c>
      <c r="E368" t="s">
        <v>1170</v>
      </c>
    </row>
    <row r="369" spans="1:5" x14ac:dyDescent="0.25">
      <c r="A369" t="s">
        <v>1171</v>
      </c>
      <c r="B369">
        <v>369</v>
      </c>
      <c r="C369">
        <v>997500</v>
      </c>
      <c r="D369" t="s">
        <v>1172</v>
      </c>
      <c r="E369" t="s">
        <v>1173</v>
      </c>
    </row>
    <row r="370" spans="1:5" x14ac:dyDescent="0.25">
      <c r="A370" t="s">
        <v>1174</v>
      </c>
      <c r="B370">
        <v>369</v>
      </c>
      <c r="C370">
        <v>997500</v>
      </c>
      <c r="D370" t="s">
        <v>1175</v>
      </c>
      <c r="E370" t="s">
        <v>1176</v>
      </c>
    </row>
    <row r="371" spans="1:5" x14ac:dyDescent="0.25">
      <c r="A371" t="s">
        <v>1177</v>
      </c>
      <c r="B371">
        <v>369</v>
      </c>
      <c r="C371">
        <v>997500</v>
      </c>
      <c r="D371" t="s">
        <v>1178</v>
      </c>
      <c r="E371" t="s">
        <v>1179</v>
      </c>
    </row>
    <row r="372" spans="1:5" x14ac:dyDescent="0.25">
      <c r="A372" t="s">
        <v>1180</v>
      </c>
      <c r="B372">
        <v>369</v>
      </c>
      <c r="C372">
        <v>997500</v>
      </c>
      <c r="D372" t="s">
        <v>1181</v>
      </c>
      <c r="E372" t="s">
        <v>1182</v>
      </c>
    </row>
    <row r="373" spans="1:5" x14ac:dyDescent="0.25">
      <c r="A373" t="s">
        <v>1183</v>
      </c>
      <c r="B373">
        <v>369</v>
      </c>
      <c r="C373">
        <v>997500</v>
      </c>
      <c r="D373" t="s">
        <v>1184</v>
      </c>
      <c r="E373" t="s">
        <v>1185</v>
      </c>
    </row>
    <row r="374" spans="1:5" x14ac:dyDescent="0.25">
      <c r="A374" t="s">
        <v>1186</v>
      </c>
      <c r="B374">
        <v>369</v>
      </c>
      <c r="C374">
        <v>997500</v>
      </c>
      <c r="E374" t="s">
        <v>1187</v>
      </c>
    </row>
    <row r="375" spans="1:5" x14ac:dyDescent="0.25">
      <c r="A375" t="s">
        <v>1188</v>
      </c>
      <c r="B375">
        <v>369</v>
      </c>
      <c r="C375">
        <v>997500</v>
      </c>
      <c r="D375" t="s">
        <v>1189</v>
      </c>
      <c r="E375" t="s">
        <v>1190</v>
      </c>
    </row>
    <row r="376" spans="1:5" x14ac:dyDescent="0.25">
      <c r="A376" t="s">
        <v>1191</v>
      </c>
      <c r="B376">
        <v>414</v>
      </c>
      <c r="C376">
        <v>1120000</v>
      </c>
      <c r="D376" t="s">
        <v>1192</v>
      </c>
      <c r="E376" t="s">
        <v>1193</v>
      </c>
    </row>
    <row r="377" spans="1:5" x14ac:dyDescent="0.25">
      <c r="A377" t="s">
        <v>1194</v>
      </c>
      <c r="B377">
        <v>369</v>
      </c>
      <c r="C377">
        <v>997500</v>
      </c>
      <c r="D377" t="s">
        <v>1195</v>
      </c>
      <c r="E377" t="s">
        <v>1196</v>
      </c>
    </row>
    <row r="378" spans="1:5" x14ac:dyDescent="0.25">
      <c r="A378" t="s">
        <v>1197</v>
      </c>
      <c r="B378">
        <v>369</v>
      </c>
      <c r="C378">
        <v>997500</v>
      </c>
      <c r="D378" t="s">
        <v>1198</v>
      </c>
      <c r="E378" t="s">
        <v>1199</v>
      </c>
    </row>
    <row r="379" spans="1:5" x14ac:dyDescent="0.25">
      <c r="A379" t="s">
        <v>1200</v>
      </c>
      <c r="B379">
        <v>369</v>
      </c>
      <c r="C379">
        <v>997500</v>
      </c>
      <c r="D379" t="s">
        <v>1201</v>
      </c>
      <c r="E379" t="s">
        <v>1202</v>
      </c>
    </row>
    <row r="380" spans="1:5" x14ac:dyDescent="0.25">
      <c r="A380" t="s">
        <v>1203</v>
      </c>
      <c r="B380">
        <v>414</v>
      </c>
      <c r="C380">
        <v>1120000</v>
      </c>
      <c r="D380" t="s">
        <v>1204</v>
      </c>
      <c r="E380" t="s">
        <v>1205</v>
      </c>
    </row>
    <row r="381" spans="1:5" x14ac:dyDescent="0.25">
      <c r="A381" t="s">
        <v>1206</v>
      </c>
      <c r="B381">
        <v>-794</v>
      </c>
      <c r="C381">
        <v>-1921500</v>
      </c>
      <c r="D381" t="s">
        <v>1207</v>
      </c>
      <c r="E381" t="s">
        <v>1208</v>
      </c>
    </row>
    <row r="382" spans="1:5" x14ac:dyDescent="0.25">
      <c r="A382" t="s">
        <v>1209</v>
      </c>
      <c r="B382">
        <v>414</v>
      </c>
      <c r="C382">
        <v>1120000</v>
      </c>
      <c r="D382" t="s">
        <v>1210</v>
      </c>
      <c r="E382" t="s">
        <v>1211</v>
      </c>
    </row>
    <row r="383" spans="1:5" x14ac:dyDescent="0.25">
      <c r="A383" t="s">
        <v>1212</v>
      </c>
      <c r="B383">
        <v>-81</v>
      </c>
      <c r="C383">
        <v>-219000</v>
      </c>
      <c r="D383" t="s">
        <v>1213</v>
      </c>
      <c r="E383" t="s">
        <v>1214</v>
      </c>
    </row>
    <row r="384" spans="1:5" x14ac:dyDescent="0.25">
      <c r="A384" t="s">
        <v>1215</v>
      </c>
      <c r="B384">
        <v>-794</v>
      </c>
      <c r="C384">
        <v>-1921500</v>
      </c>
      <c r="D384" t="s">
        <v>1216</v>
      </c>
      <c r="E384" t="s">
        <v>1217</v>
      </c>
    </row>
    <row r="385" spans="1:5" x14ac:dyDescent="0.25">
      <c r="A385" t="s">
        <v>1218</v>
      </c>
      <c r="B385">
        <v>-794</v>
      </c>
      <c r="C385">
        <v>-1921500</v>
      </c>
      <c r="D385" t="s">
        <v>1219</v>
      </c>
      <c r="E385" t="s">
        <v>1220</v>
      </c>
    </row>
    <row r="386" spans="1:5" x14ac:dyDescent="0.25">
      <c r="A386" t="s">
        <v>1221</v>
      </c>
      <c r="B386">
        <v>369</v>
      </c>
      <c r="C386">
        <v>997500</v>
      </c>
      <c r="D386" t="s">
        <v>1222</v>
      </c>
      <c r="E386" t="s">
        <v>1223</v>
      </c>
    </row>
    <row r="387" spans="1:5" x14ac:dyDescent="0.25">
      <c r="A387" t="s">
        <v>1224</v>
      </c>
      <c r="B387">
        <v>369</v>
      </c>
      <c r="C387">
        <v>997500</v>
      </c>
      <c r="D387" t="s">
        <v>1225</v>
      </c>
      <c r="E387" t="s">
        <v>1226</v>
      </c>
    </row>
    <row r="388" spans="1:5" x14ac:dyDescent="0.25">
      <c r="A388" t="s">
        <v>1227</v>
      </c>
      <c r="B388">
        <v>369</v>
      </c>
      <c r="C388">
        <v>997500</v>
      </c>
      <c r="D388" t="s">
        <v>1228</v>
      </c>
      <c r="E388" t="s">
        <v>1229</v>
      </c>
    </row>
    <row r="389" spans="1:5" x14ac:dyDescent="0.25">
      <c r="A389" t="s">
        <v>1230</v>
      </c>
      <c r="B389">
        <v>-794</v>
      </c>
      <c r="C389">
        <v>-1921500</v>
      </c>
      <c r="D389" t="s">
        <v>1231</v>
      </c>
      <c r="E389" t="s">
        <v>1232</v>
      </c>
    </row>
    <row r="390" spans="1:5" x14ac:dyDescent="0.25">
      <c r="A390" t="s">
        <v>1233</v>
      </c>
      <c r="B390">
        <v>-794</v>
      </c>
      <c r="C390">
        <v>-1921500</v>
      </c>
      <c r="D390" t="s">
        <v>1234</v>
      </c>
      <c r="E390" t="s">
        <v>1235</v>
      </c>
    </row>
    <row r="391" spans="1:5" x14ac:dyDescent="0.25">
      <c r="A391" t="s">
        <v>1236</v>
      </c>
      <c r="B391">
        <v>414</v>
      </c>
      <c r="C391">
        <v>1120000</v>
      </c>
      <c r="D391" t="s">
        <v>1237</v>
      </c>
      <c r="E391" t="s">
        <v>1238</v>
      </c>
    </row>
    <row r="392" spans="1:5" x14ac:dyDescent="0.25">
      <c r="A392" t="s">
        <v>1239</v>
      </c>
      <c r="B392">
        <v>369</v>
      </c>
      <c r="C392">
        <v>997500</v>
      </c>
      <c r="D392" t="s">
        <v>1240</v>
      </c>
      <c r="E392" t="s">
        <v>1241</v>
      </c>
    </row>
    <row r="393" spans="1:5" x14ac:dyDescent="0.25">
      <c r="A393" t="s">
        <v>1242</v>
      </c>
      <c r="B393">
        <v>369</v>
      </c>
      <c r="C393">
        <v>997500</v>
      </c>
      <c r="D393" t="s">
        <v>1243</v>
      </c>
      <c r="E393" t="s">
        <v>1244</v>
      </c>
    </row>
    <row r="394" spans="1:5" x14ac:dyDescent="0.25">
      <c r="A394" t="s">
        <v>1245</v>
      </c>
      <c r="B394">
        <v>369</v>
      </c>
      <c r="C394">
        <v>997500</v>
      </c>
      <c r="D394" t="s">
        <v>1246</v>
      </c>
      <c r="E394" t="s">
        <v>1247</v>
      </c>
    </row>
    <row r="395" spans="1:5" x14ac:dyDescent="0.25">
      <c r="A395" t="s">
        <v>1248</v>
      </c>
      <c r="B395">
        <v>-81</v>
      </c>
      <c r="C395">
        <v>-219000</v>
      </c>
      <c r="D395" t="s">
        <v>1249</v>
      </c>
      <c r="E395" t="s">
        <v>1250</v>
      </c>
    </row>
    <row r="396" spans="1:5" x14ac:dyDescent="0.25">
      <c r="A396" t="s">
        <v>1251</v>
      </c>
      <c r="B396">
        <v>369</v>
      </c>
      <c r="C396">
        <v>997500</v>
      </c>
      <c r="D396" t="s">
        <v>1252</v>
      </c>
      <c r="E396" t="s">
        <v>1253</v>
      </c>
    </row>
    <row r="397" spans="1:5" x14ac:dyDescent="0.25">
      <c r="A397" t="s">
        <v>1254</v>
      </c>
      <c r="B397">
        <v>369</v>
      </c>
      <c r="C397">
        <v>997500</v>
      </c>
      <c r="D397" t="s">
        <v>1255</v>
      </c>
      <c r="E397" t="s">
        <v>1256</v>
      </c>
    </row>
    <row r="398" spans="1:5" x14ac:dyDescent="0.25">
      <c r="A398" t="s">
        <v>1257</v>
      </c>
      <c r="B398">
        <v>-794</v>
      </c>
      <c r="C398">
        <v>-1921500</v>
      </c>
      <c r="D398" t="s">
        <v>1258</v>
      </c>
      <c r="E398" t="s">
        <v>1259</v>
      </c>
    </row>
    <row r="399" spans="1:5" x14ac:dyDescent="0.25">
      <c r="A399" t="s">
        <v>1260</v>
      </c>
      <c r="B399">
        <v>-794</v>
      </c>
      <c r="C399">
        <v>-1921500</v>
      </c>
      <c r="D399" t="s">
        <v>1261</v>
      </c>
      <c r="E399" t="s">
        <v>1262</v>
      </c>
    </row>
    <row r="400" spans="1:5" x14ac:dyDescent="0.25">
      <c r="A400" t="s">
        <v>1263</v>
      </c>
      <c r="B400">
        <v>-794</v>
      </c>
      <c r="C400">
        <v>-1921500</v>
      </c>
      <c r="D400" t="s">
        <v>1264</v>
      </c>
      <c r="E400" t="s">
        <v>1265</v>
      </c>
    </row>
    <row r="401" spans="1:5" x14ac:dyDescent="0.25">
      <c r="A401" t="s">
        <v>1266</v>
      </c>
      <c r="B401">
        <v>369</v>
      </c>
      <c r="C401">
        <v>997500</v>
      </c>
      <c r="D401" t="s">
        <v>1267</v>
      </c>
      <c r="E401" t="s">
        <v>1268</v>
      </c>
    </row>
    <row r="402" spans="1:5" x14ac:dyDescent="0.25">
      <c r="A402" t="s">
        <v>1269</v>
      </c>
      <c r="B402">
        <v>369</v>
      </c>
      <c r="C402">
        <v>997500</v>
      </c>
      <c r="D402" t="s">
        <v>1270</v>
      </c>
      <c r="E402" t="s">
        <v>1271</v>
      </c>
    </row>
    <row r="403" spans="1:5" x14ac:dyDescent="0.25">
      <c r="A403" t="s">
        <v>1272</v>
      </c>
      <c r="B403">
        <v>369</v>
      </c>
      <c r="C403">
        <v>997500</v>
      </c>
    </row>
    <row r="404" spans="1:5" x14ac:dyDescent="0.25">
      <c r="A404" t="s">
        <v>1273</v>
      </c>
      <c r="B404">
        <v>-794</v>
      </c>
      <c r="C404">
        <v>-1921500</v>
      </c>
      <c r="D404" t="s">
        <v>1274</v>
      </c>
      <c r="E404" t="s">
        <v>1275</v>
      </c>
    </row>
    <row r="405" spans="1:5" x14ac:dyDescent="0.25">
      <c r="A405" t="s">
        <v>1276</v>
      </c>
      <c r="B405">
        <v>-794</v>
      </c>
      <c r="C405">
        <v>-1921500</v>
      </c>
      <c r="D405" t="s">
        <v>1277</v>
      </c>
      <c r="E405" t="s">
        <v>1278</v>
      </c>
    </row>
    <row r="406" spans="1:5" x14ac:dyDescent="0.25">
      <c r="A406" t="s">
        <v>1279</v>
      </c>
      <c r="B406">
        <v>-794</v>
      </c>
      <c r="C406">
        <v>-1921500</v>
      </c>
      <c r="D406" t="s">
        <v>1280</v>
      </c>
      <c r="E406" t="s">
        <v>1281</v>
      </c>
    </row>
    <row r="407" spans="1:5" x14ac:dyDescent="0.25">
      <c r="A407" t="s">
        <v>1282</v>
      </c>
      <c r="B407">
        <v>369</v>
      </c>
      <c r="C407">
        <v>997500</v>
      </c>
      <c r="D407" t="s">
        <v>1283</v>
      </c>
      <c r="E407" t="s">
        <v>1284</v>
      </c>
    </row>
    <row r="408" spans="1:5" x14ac:dyDescent="0.25">
      <c r="A408" t="s">
        <v>1285</v>
      </c>
      <c r="B408">
        <v>369</v>
      </c>
      <c r="C408">
        <v>997500</v>
      </c>
      <c r="D408" t="s">
        <v>1286</v>
      </c>
      <c r="E408" t="s">
        <v>1287</v>
      </c>
    </row>
    <row r="409" spans="1:5" x14ac:dyDescent="0.25">
      <c r="A409" t="s">
        <v>1288</v>
      </c>
      <c r="B409">
        <v>369</v>
      </c>
      <c r="C409">
        <v>997500</v>
      </c>
      <c r="D409" t="s">
        <v>1289</v>
      </c>
      <c r="E409" t="s">
        <v>1290</v>
      </c>
    </row>
    <row r="410" spans="1:5" x14ac:dyDescent="0.25">
      <c r="A410" t="s">
        <v>1291</v>
      </c>
      <c r="B410">
        <v>-794</v>
      </c>
      <c r="C410">
        <v>-1921500</v>
      </c>
      <c r="D410" t="s">
        <v>1292</v>
      </c>
      <c r="E410" t="s">
        <v>1293</v>
      </c>
    </row>
    <row r="411" spans="1:5" x14ac:dyDescent="0.25">
      <c r="A411" t="s">
        <v>1294</v>
      </c>
      <c r="B411">
        <v>-794</v>
      </c>
      <c r="C411">
        <v>-1921500</v>
      </c>
      <c r="D411" t="s">
        <v>1295</v>
      </c>
      <c r="E411" t="s">
        <v>1296</v>
      </c>
    </row>
    <row r="412" spans="1:5" x14ac:dyDescent="0.25">
      <c r="A412" t="s">
        <v>1297</v>
      </c>
      <c r="B412">
        <v>369</v>
      </c>
      <c r="C412">
        <v>997500</v>
      </c>
      <c r="D412" t="s">
        <v>1298</v>
      </c>
      <c r="E412" t="s">
        <v>1299</v>
      </c>
    </row>
    <row r="413" spans="1:5" x14ac:dyDescent="0.25">
      <c r="A413" t="s">
        <v>1300</v>
      </c>
      <c r="B413">
        <v>369</v>
      </c>
      <c r="C413">
        <v>997500</v>
      </c>
      <c r="D413" t="s">
        <v>1301</v>
      </c>
      <c r="E413" t="s">
        <v>1302</v>
      </c>
    </row>
    <row r="414" spans="1:5" x14ac:dyDescent="0.25">
      <c r="A414" t="s">
        <v>1303</v>
      </c>
      <c r="B414">
        <v>369</v>
      </c>
      <c r="C414">
        <v>997500</v>
      </c>
      <c r="D414" t="s">
        <v>1304</v>
      </c>
      <c r="E414" t="s">
        <v>1305</v>
      </c>
    </row>
    <row r="415" spans="1:5" x14ac:dyDescent="0.25">
      <c r="A415" t="s">
        <v>1306</v>
      </c>
      <c r="B415">
        <v>369</v>
      </c>
      <c r="C415">
        <v>997500</v>
      </c>
      <c r="D415" t="s">
        <v>1307</v>
      </c>
      <c r="E415" t="s">
        <v>1308</v>
      </c>
    </row>
    <row r="416" spans="1:5" x14ac:dyDescent="0.25">
      <c r="A416" t="s">
        <v>1309</v>
      </c>
      <c r="B416">
        <v>369</v>
      </c>
      <c r="C416">
        <v>997500</v>
      </c>
      <c r="D416" t="s">
        <v>1310</v>
      </c>
      <c r="E416" t="s">
        <v>1311</v>
      </c>
    </row>
    <row r="417" spans="1:5" x14ac:dyDescent="0.25">
      <c r="A417" t="s">
        <v>1312</v>
      </c>
      <c r="B417">
        <v>-794</v>
      </c>
      <c r="C417">
        <v>-1921500</v>
      </c>
      <c r="D417" t="s">
        <v>1313</v>
      </c>
      <c r="E417" t="s">
        <v>1314</v>
      </c>
    </row>
    <row r="418" spans="1:5" x14ac:dyDescent="0.25">
      <c r="A418" t="s">
        <v>1315</v>
      </c>
      <c r="B418">
        <v>-794</v>
      </c>
      <c r="C418">
        <v>-1921500</v>
      </c>
      <c r="D418" t="s">
        <v>1316</v>
      </c>
      <c r="E418" t="s">
        <v>1317</v>
      </c>
    </row>
    <row r="419" spans="1:5" x14ac:dyDescent="0.25">
      <c r="A419" t="s">
        <v>1318</v>
      </c>
      <c r="B419">
        <v>-794</v>
      </c>
      <c r="C419">
        <v>-1921500</v>
      </c>
      <c r="D419" t="s">
        <v>1319</v>
      </c>
      <c r="E419" t="s">
        <v>1320</v>
      </c>
    </row>
    <row r="420" spans="1:5" x14ac:dyDescent="0.25">
      <c r="A420" t="s">
        <v>1321</v>
      </c>
      <c r="B420">
        <v>-794</v>
      </c>
      <c r="C420">
        <v>-1921500</v>
      </c>
      <c r="D420" t="s">
        <v>1322</v>
      </c>
      <c r="E420" t="s">
        <v>1323</v>
      </c>
    </row>
    <row r="421" spans="1:5" x14ac:dyDescent="0.25">
      <c r="A421" t="s">
        <v>1324</v>
      </c>
      <c r="B421">
        <v>-794</v>
      </c>
      <c r="C421">
        <v>-1921500</v>
      </c>
      <c r="D421" t="s">
        <v>1325</v>
      </c>
      <c r="E421" t="s">
        <v>1326</v>
      </c>
    </row>
    <row r="422" spans="1:5" x14ac:dyDescent="0.25">
      <c r="A422" t="s">
        <v>1327</v>
      </c>
      <c r="B422">
        <v>-794</v>
      </c>
      <c r="C422">
        <v>-1921500</v>
      </c>
      <c r="D422" t="s">
        <v>1328</v>
      </c>
      <c r="E422" t="s">
        <v>1329</v>
      </c>
    </row>
    <row r="423" spans="1:5" x14ac:dyDescent="0.25">
      <c r="A423" t="s">
        <v>1330</v>
      </c>
      <c r="B423">
        <v>414</v>
      </c>
      <c r="C423">
        <v>1120000</v>
      </c>
      <c r="D423" t="s">
        <v>1331</v>
      </c>
      <c r="E423" t="s">
        <v>1332</v>
      </c>
    </row>
    <row r="424" spans="1:5" x14ac:dyDescent="0.25">
      <c r="A424" t="s">
        <v>1333</v>
      </c>
      <c r="B424">
        <v>-794</v>
      </c>
      <c r="C424">
        <v>-1921500</v>
      </c>
      <c r="D424" t="s">
        <v>1334</v>
      </c>
      <c r="E424" t="s">
        <v>1335</v>
      </c>
    </row>
    <row r="425" spans="1:5" x14ac:dyDescent="0.25">
      <c r="A425" t="s">
        <v>1336</v>
      </c>
      <c r="B425">
        <v>-794</v>
      </c>
      <c r="C425">
        <v>-1921500</v>
      </c>
      <c r="D425" t="s">
        <v>1337</v>
      </c>
      <c r="E425" t="s">
        <v>1338</v>
      </c>
    </row>
    <row r="426" spans="1:5" x14ac:dyDescent="0.25">
      <c r="A426" t="s">
        <v>1339</v>
      </c>
      <c r="B426">
        <v>-794</v>
      </c>
      <c r="C426">
        <v>-1921500</v>
      </c>
      <c r="D426" t="s">
        <v>266</v>
      </c>
      <c r="E426" t="s">
        <v>1340</v>
      </c>
    </row>
    <row r="427" spans="1:5" x14ac:dyDescent="0.25">
      <c r="A427" t="s">
        <v>1341</v>
      </c>
      <c r="B427">
        <v>-794</v>
      </c>
      <c r="C427">
        <v>-1921500</v>
      </c>
      <c r="D427" t="s">
        <v>1342</v>
      </c>
      <c r="E427" t="s">
        <v>1343</v>
      </c>
    </row>
    <row r="428" spans="1:5" x14ac:dyDescent="0.25">
      <c r="A428" t="s">
        <v>1344</v>
      </c>
      <c r="B428">
        <v>-714</v>
      </c>
      <c r="C428">
        <v>-1702500</v>
      </c>
      <c r="D428" t="s">
        <v>1345</v>
      </c>
      <c r="E428" t="s">
        <v>1346</v>
      </c>
    </row>
    <row r="429" spans="1:5" x14ac:dyDescent="0.25">
      <c r="A429" t="s">
        <v>1347</v>
      </c>
      <c r="B429">
        <v>-714</v>
      </c>
      <c r="C429">
        <v>-1702500</v>
      </c>
      <c r="D429" t="s">
        <v>1348</v>
      </c>
      <c r="E429" t="s">
        <v>1349</v>
      </c>
    </row>
    <row r="430" spans="1:5" x14ac:dyDescent="0.25">
      <c r="A430" t="s">
        <v>1350</v>
      </c>
      <c r="B430">
        <v>414</v>
      </c>
      <c r="C430">
        <v>1120000</v>
      </c>
      <c r="D430" t="s">
        <v>1351</v>
      </c>
      <c r="E430" t="s">
        <v>1352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"/>
  <sheetViews>
    <sheetView workbookViewId="0">
      <selection activeCell="M8" sqref="M8"/>
    </sheetView>
  </sheetViews>
  <sheetFormatPr defaultRowHeight="15" x14ac:dyDescent="0.25"/>
  <sheetData>
    <row r="1" spans="1:6" x14ac:dyDescent="0.25">
      <c r="A1" s="1" t="s">
        <v>1353</v>
      </c>
      <c r="B1" s="1" t="s">
        <v>1354</v>
      </c>
      <c r="C1" s="1" t="s">
        <v>1355</v>
      </c>
      <c r="D1" s="1" t="s">
        <v>81</v>
      </c>
      <c r="E1" s="1" t="s">
        <v>22</v>
      </c>
      <c r="F1" s="1" t="s">
        <v>1356</v>
      </c>
    </row>
    <row r="2" spans="1:6" x14ac:dyDescent="0.25">
      <c r="A2" t="s">
        <v>1357</v>
      </c>
      <c r="B2">
        <v>-17398</v>
      </c>
      <c r="C2">
        <v>-6518876</v>
      </c>
      <c r="D2">
        <v>47190</v>
      </c>
      <c r="E2">
        <v>-660892</v>
      </c>
      <c r="F2">
        <v>-3</v>
      </c>
    </row>
    <row r="3" spans="1:6" x14ac:dyDescent="0.25">
      <c r="A3" t="s">
        <v>1358</v>
      </c>
      <c r="B3">
        <v>26305</v>
      </c>
      <c r="C3">
        <v>-6518876</v>
      </c>
      <c r="D3">
        <v>46837</v>
      </c>
      <c r="E3">
        <v>-677801</v>
      </c>
      <c r="F3">
        <v>100</v>
      </c>
    </row>
    <row r="4" spans="1:6" x14ac:dyDescent="0.25">
      <c r="A4" t="s">
        <v>1359</v>
      </c>
      <c r="B4">
        <v>-92510</v>
      </c>
      <c r="C4">
        <v>-6518876</v>
      </c>
      <c r="D4">
        <v>46927</v>
      </c>
      <c r="E4">
        <v>-395888</v>
      </c>
      <c r="F4">
        <v>-23</v>
      </c>
    </row>
    <row r="5" spans="1:6" x14ac:dyDescent="0.25">
      <c r="A5" t="s">
        <v>1360</v>
      </c>
      <c r="B5">
        <v>29164</v>
      </c>
      <c r="C5">
        <v>-6518876</v>
      </c>
      <c r="D5">
        <v>46675</v>
      </c>
      <c r="E5">
        <v>-675860</v>
      </c>
      <c r="F5">
        <v>100</v>
      </c>
    </row>
    <row r="6" spans="1:6" x14ac:dyDescent="0.25">
      <c r="A6" t="s">
        <v>1361</v>
      </c>
      <c r="B6">
        <v>-16279</v>
      </c>
      <c r="C6">
        <v>-6518876</v>
      </c>
      <c r="D6">
        <v>46849</v>
      </c>
      <c r="E6">
        <v>-402876</v>
      </c>
      <c r="F6">
        <v>-4</v>
      </c>
    </row>
    <row r="7" spans="1:6" x14ac:dyDescent="0.25">
      <c r="A7" t="s">
        <v>1362</v>
      </c>
      <c r="B7">
        <v>-47081</v>
      </c>
      <c r="C7">
        <v>-6518876</v>
      </c>
      <c r="D7">
        <v>46875</v>
      </c>
      <c r="E7">
        <v>-359692</v>
      </c>
      <c r="F7">
        <v>-13</v>
      </c>
    </row>
    <row r="8" spans="1:6" x14ac:dyDescent="0.25">
      <c r="A8" t="s">
        <v>1363</v>
      </c>
      <c r="B8">
        <v>12793</v>
      </c>
      <c r="C8">
        <v>-6518876</v>
      </c>
      <c r="D8">
        <v>46971</v>
      </c>
      <c r="E8">
        <v>-403449</v>
      </c>
      <c r="F8">
        <v>100</v>
      </c>
    </row>
    <row r="9" spans="1:6" x14ac:dyDescent="0.25">
      <c r="A9" t="s">
        <v>1364</v>
      </c>
      <c r="B9">
        <v>41386</v>
      </c>
      <c r="C9">
        <v>-6518876</v>
      </c>
      <c r="D9">
        <v>46789</v>
      </c>
      <c r="E9">
        <v>-415971</v>
      </c>
      <c r="F9">
        <v>100</v>
      </c>
    </row>
    <row r="10" spans="1:6" x14ac:dyDescent="0.25">
      <c r="A10" t="s">
        <v>1365</v>
      </c>
      <c r="B10">
        <v>116644</v>
      </c>
      <c r="C10">
        <v>-6518876</v>
      </c>
      <c r="D10">
        <v>46641</v>
      </c>
      <c r="E10">
        <v>-519249</v>
      </c>
      <c r="F10">
        <v>100</v>
      </c>
    </row>
    <row r="11" spans="1:6" x14ac:dyDescent="0.25">
      <c r="A11" t="s">
        <v>1366</v>
      </c>
      <c r="B11">
        <v>186748</v>
      </c>
      <c r="C11">
        <v>-6518876</v>
      </c>
      <c r="D11">
        <v>46335</v>
      </c>
      <c r="E11">
        <v>-957605</v>
      </c>
      <c r="F11">
        <v>100</v>
      </c>
    </row>
    <row r="12" spans="1:6" x14ac:dyDescent="0.25">
      <c r="A12" t="s">
        <v>1367</v>
      </c>
      <c r="B12">
        <v>138480</v>
      </c>
      <c r="C12">
        <v>-6518876</v>
      </c>
      <c r="D12">
        <v>46290</v>
      </c>
      <c r="E12">
        <v>-876580</v>
      </c>
      <c r="F12">
        <v>100</v>
      </c>
    </row>
    <row r="13" spans="1:6" x14ac:dyDescent="0.25">
      <c r="A13" t="s">
        <v>1368</v>
      </c>
      <c r="B13">
        <v>220418</v>
      </c>
      <c r="C13">
        <v>-6518876</v>
      </c>
      <c r="D13">
        <v>45987</v>
      </c>
      <c r="E13">
        <v>-1051779</v>
      </c>
      <c r="F13">
        <v>100</v>
      </c>
    </row>
    <row r="14" spans="1:6" x14ac:dyDescent="0.25">
      <c r="A14" t="s">
        <v>1369</v>
      </c>
      <c r="B14">
        <v>156679</v>
      </c>
      <c r="C14">
        <v>-6518876</v>
      </c>
      <c r="D14">
        <v>45923</v>
      </c>
      <c r="E14">
        <v>-1065271</v>
      </c>
      <c r="F14">
        <v>100</v>
      </c>
    </row>
    <row r="15" spans="1:6" x14ac:dyDescent="0.25">
      <c r="A15" t="s">
        <v>1370</v>
      </c>
      <c r="B15">
        <v>289302</v>
      </c>
      <c r="C15">
        <v>-6518876</v>
      </c>
      <c r="D15">
        <v>45764</v>
      </c>
      <c r="E15">
        <v>-1319526</v>
      </c>
      <c r="F15">
        <v>100</v>
      </c>
    </row>
    <row r="16" spans="1:6" x14ac:dyDescent="0.25">
      <c r="A16" t="s">
        <v>1371</v>
      </c>
      <c r="B16">
        <v>369827</v>
      </c>
      <c r="C16">
        <v>-6518876</v>
      </c>
      <c r="D16">
        <v>45664</v>
      </c>
      <c r="E16">
        <v>-1468023</v>
      </c>
      <c r="F16">
        <v>100</v>
      </c>
    </row>
    <row r="17" spans="1:6" x14ac:dyDescent="0.25">
      <c r="A17" t="s">
        <v>1372</v>
      </c>
      <c r="B17">
        <v>378404</v>
      </c>
      <c r="C17">
        <v>-6518876</v>
      </c>
      <c r="D17">
        <v>45611</v>
      </c>
      <c r="E17">
        <v>-1484370</v>
      </c>
      <c r="F17">
        <v>100</v>
      </c>
    </row>
    <row r="18" spans="1:6" x14ac:dyDescent="0.25">
      <c r="A18" t="s">
        <v>1373</v>
      </c>
      <c r="B18">
        <v>435975</v>
      </c>
      <c r="C18">
        <v>-6518876</v>
      </c>
      <c r="D18">
        <v>45624</v>
      </c>
      <c r="E18">
        <v>-1662095</v>
      </c>
      <c r="F18">
        <v>100</v>
      </c>
    </row>
    <row r="19" spans="1:6" x14ac:dyDescent="0.25">
      <c r="A19" t="s">
        <v>1374</v>
      </c>
      <c r="B19">
        <v>510576</v>
      </c>
      <c r="C19">
        <v>-6518876</v>
      </c>
      <c r="D19">
        <v>45513</v>
      </c>
      <c r="E19">
        <v>-1681445</v>
      </c>
      <c r="F19">
        <v>100</v>
      </c>
    </row>
    <row r="20" spans="1:6" x14ac:dyDescent="0.25">
      <c r="A20" t="s">
        <v>1375</v>
      </c>
      <c r="B20">
        <v>395185</v>
      </c>
      <c r="C20">
        <v>-6518876</v>
      </c>
      <c r="D20">
        <v>45537</v>
      </c>
      <c r="E20">
        <v>-1511230</v>
      </c>
      <c r="F20">
        <v>100</v>
      </c>
    </row>
    <row r="21" spans="1:6" x14ac:dyDescent="0.25">
      <c r="A21" t="s">
        <v>1376</v>
      </c>
      <c r="B21">
        <v>349761</v>
      </c>
      <c r="C21">
        <v>-6518876</v>
      </c>
      <c r="D21">
        <v>45643</v>
      </c>
      <c r="E21">
        <v>-1403690</v>
      </c>
      <c r="F21">
        <v>100</v>
      </c>
    </row>
    <row r="22" spans="1:6" x14ac:dyDescent="0.25">
      <c r="A22" t="s">
        <v>1377</v>
      </c>
      <c r="B22">
        <v>404731</v>
      </c>
      <c r="C22">
        <v>-6518876</v>
      </c>
      <c r="D22">
        <v>45542</v>
      </c>
      <c r="E22">
        <v>-1573938</v>
      </c>
      <c r="F22">
        <v>100</v>
      </c>
    </row>
    <row r="23" spans="1:6" x14ac:dyDescent="0.25">
      <c r="A23" t="s">
        <v>1378</v>
      </c>
      <c r="B23">
        <v>408241</v>
      </c>
      <c r="C23">
        <v>-6518876</v>
      </c>
      <c r="D23">
        <v>45617</v>
      </c>
      <c r="E23">
        <v>-1602091</v>
      </c>
      <c r="F23">
        <v>100</v>
      </c>
    </row>
    <row r="24" spans="1:6" x14ac:dyDescent="0.25">
      <c r="A24" t="s">
        <v>1379</v>
      </c>
      <c r="B24">
        <v>388504</v>
      </c>
      <c r="C24">
        <v>-6518876</v>
      </c>
      <c r="D24">
        <v>45544</v>
      </c>
      <c r="E24">
        <v>-1508341</v>
      </c>
      <c r="F24">
        <v>100</v>
      </c>
    </row>
    <row r="25" spans="1:6" x14ac:dyDescent="0.25">
      <c r="A25" t="s">
        <v>1380</v>
      </c>
      <c r="B25">
        <v>357170</v>
      </c>
      <c r="C25">
        <v>-6518876</v>
      </c>
      <c r="D25">
        <v>45477</v>
      </c>
      <c r="E25">
        <v>-1458973</v>
      </c>
      <c r="F25">
        <v>100</v>
      </c>
    </row>
    <row r="26" spans="1:6" x14ac:dyDescent="0.25">
      <c r="A26" t="s">
        <v>1381</v>
      </c>
      <c r="B26">
        <v>311702</v>
      </c>
      <c r="C26">
        <v>-6518876</v>
      </c>
      <c r="D26">
        <v>45645</v>
      </c>
      <c r="E26">
        <v>-1320049</v>
      </c>
      <c r="F26">
        <v>100</v>
      </c>
    </row>
    <row r="27" spans="1:6" x14ac:dyDescent="0.25">
      <c r="A27" t="s">
        <v>1382</v>
      </c>
      <c r="B27">
        <v>389036</v>
      </c>
      <c r="C27">
        <v>-6518876</v>
      </c>
      <c r="D27">
        <v>45678</v>
      </c>
      <c r="E27">
        <v>-1321376</v>
      </c>
      <c r="F27">
        <v>100</v>
      </c>
    </row>
    <row r="28" spans="1:6" x14ac:dyDescent="0.25">
      <c r="A28" t="s">
        <v>1383</v>
      </c>
      <c r="B28">
        <v>342393</v>
      </c>
      <c r="C28">
        <v>-6518876</v>
      </c>
      <c r="D28">
        <v>45674</v>
      </c>
      <c r="E28">
        <v>-1460907</v>
      </c>
      <c r="F28">
        <v>100</v>
      </c>
    </row>
    <row r="29" spans="1:6" x14ac:dyDescent="0.25">
      <c r="A29" t="s">
        <v>1384</v>
      </c>
      <c r="B29">
        <v>353993</v>
      </c>
      <c r="C29">
        <v>-6518876</v>
      </c>
      <c r="D29">
        <v>45457</v>
      </c>
      <c r="E29">
        <v>-1513359</v>
      </c>
      <c r="F29">
        <v>100</v>
      </c>
    </row>
    <row r="30" spans="1:6" x14ac:dyDescent="0.25">
      <c r="A30" t="s">
        <v>1385</v>
      </c>
      <c r="B30">
        <v>401824</v>
      </c>
      <c r="C30">
        <v>-6518876</v>
      </c>
      <c r="D30">
        <v>45207</v>
      </c>
      <c r="E30">
        <v>-1607835</v>
      </c>
      <c r="F30">
        <v>100</v>
      </c>
    </row>
    <row r="31" spans="1:6" x14ac:dyDescent="0.25">
      <c r="A31" t="s">
        <v>1386</v>
      </c>
      <c r="B31">
        <v>369732</v>
      </c>
      <c r="C31">
        <v>-6518876</v>
      </c>
      <c r="D31">
        <v>45095</v>
      </c>
      <c r="E31">
        <v>-1561102</v>
      </c>
      <c r="F31">
        <v>100</v>
      </c>
    </row>
    <row r="32" spans="1:6" x14ac:dyDescent="0.25">
      <c r="A32" t="s">
        <v>1387</v>
      </c>
      <c r="B32">
        <v>381751</v>
      </c>
      <c r="C32">
        <v>-6518876</v>
      </c>
      <c r="D32">
        <v>45031</v>
      </c>
      <c r="E32">
        <v>-1710077</v>
      </c>
      <c r="F32">
        <v>100</v>
      </c>
    </row>
    <row r="33" spans="1:6" x14ac:dyDescent="0.25">
      <c r="A33" t="s">
        <v>1388</v>
      </c>
      <c r="B33">
        <v>319741</v>
      </c>
      <c r="C33">
        <v>-6518876</v>
      </c>
      <c r="D33">
        <v>44902</v>
      </c>
      <c r="E33">
        <v>-1692381</v>
      </c>
      <c r="F33">
        <v>100</v>
      </c>
    </row>
    <row r="34" spans="1:6" x14ac:dyDescent="0.25">
      <c r="A34" t="s">
        <v>1389</v>
      </c>
      <c r="B34">
        <v>311375</v>
      </c>
      <c r="C34">
        <v>-6518876</v>
      </c>
      <c r="D34">
        <v>44977</v>
      </c>
      <c r="E34">
        <v>-1711200</v>
      </c>
      <c r="F34">
        <v>100</v>
      </c>
    </row>
    <row r="35" spans="1:6" x14ac:dyDescent="0.25">
      <c r="A35" t="s">
        <v>1390</v>
      </c>
      <c r="B35">
        <v>260727</v>
      </c>
      <c r="C35">
        <v>-6518876</v>
      </c>
      <c r="D35">
        <v>45161</v>
      </c>
      <c r="E35">
        <v>-1648280</v>
      </c>
      <c r="F35">
        <v>100</v>
      </c>
    </row>
    <row r="36" spans="1:6" x14ac:dyDescent="0.25">
      <c r="A36" t="s">
        <v>1391</v>
      </c>
      <c r="B36">
        <v>83081</v>
      </c>
      <c r="C36">
        <v>-16362233</v>
      </c>
      <c r="D36">
        <v>63468</v>
      </c>
      <c r="E36">
        <v>-7454148</v>
      </c>
      <c r="F36">
        <v>100</v>
      </c>
    </row>
    <row r="37" spans="1:6" x14ac:dyDescent="0.25">
      <c r="A37" t="s">
        <v>1392</v>
      </c>
      <c r="B37">
        <v>-49202</v>
      </c>
      <c r="C37">
        <v>-16362233</v>
      </c>
      <c r="D37">
        <v>63586</v>
      </c>
      <c r="E37">
        <v>-7281576</v>
      </c>
      <c r="F37">
        <v>-1</v>
      </c>
    </row>
    <row r="38" spans="1:6" x14ac:dyDescent="0.25">
      <c r="A38" t="s">
        <v>1393</v>
      </c>
      <c r="B38">
        <v>30060</v>
      </c>
      <c r="C38">
        <v>-16362233</v>
      </c>
      <c r="D38">
        <v>63674</v>
      </c>
      <c r="E38">
        <v>-7278755</v>
      </c>
      <c r="F38">
        <v>100</v>
      </c>
    </row>
    <row r="39" spans="1:6" x14ac:dyDescent="0.25">
      <c r="A39" t="s">
        <v>1394</v>
      </c>
      <c r="B39">
        <v>-125581</v>
      </c>
      <c r="C39">
        <v>-16362233</v>
      </c>
      <c r="D39">
        <v>63212</v>
      </c>
      <c r="E39">
        <v>-6643081</v>
      </c>
      <c r="F39">
        <v>-2</v>
      </c>
    </row>
    <row r="40" spans="1:6" x14ac:dyDescent="0.25">
      <c r="A40" t="s">
        <v>1395</v>
      </c>
      <c r="B40">
        <v>89845</v>
      </c>
      <c r="C40">
        <v>-16362233</v>
      </c>
      <c r="D40">
        <v>63149</v>
      </c>
      <c r="E40">
        <v>-7055469</v>
      </c>
      <c r="F40">
        <v>100</v>
      </c>
    </row>
    <row r="41" spans="1:6" x14ac:dyDescent="0.25">
      <c r="A41" t="s">
        <v>1396</v>
      </c>
      <c r="B41">
        <v>56695</v>
      </c>
      <c r="C41">
        <v>-16362233</v>
      </c>
      <c r="D41">
        <v>62991</v>
      </c>
      <c r="E41">
        <v>-7144893</v>
      </c>
      <c r="F41">
        <v>100</v>
      </c>
    </row>
    <row r="42" spans="1:6" x14ac:dyDescent="0.25">
      <c r="A42" t="s">
        <v>1397</v>
      </c>
      <c r="B42">
        <v>-19692</v>
      </c>
      <c r="C42">
        <v>-16362233</v>
      </c>
      <c r="D42">
        <v>62720</v>
      </c>
      <c r="E42">
        <v>-7171067</v>
      </c>
      <c r="F42">
        <v>0</v>
      </c>
    </row>
    <row r="43" spans="1:6" x14ac:dyDescent="0.25">
      <c r="A43" t="s">
        <v>1398</v>
      </c>
      <c r="B43">
        <v>-104358</v>
      </c>
      <c r="C43">
        <v>-16362233</v>
      </c>
      <c r="D43">
        <v>62691</v>
      </c>
      <c r="E43">
        <v>-7184827</v>
      </c>
      <c r="F43">
        <v>-1</v>
      </c>
    </row>
    <row r="44" spans="1:6" x14ac:dyDescent="0.25">
      <c r="A44" t="s">
        <v>1399</v>
      </c>
      <c r="B44">
        <v>-11959</v>
      </c>
      <c r="C44">
        <v>-16362233</v>
      </c>
      <c r="D44">
        <v>62521</v>
      </c>
      <c r="E44">
        <v>-7471544</v>
      </c>
      <c r="F44">
        <v>0</v>
      </c>
    </row>
    <row r="45" spans="1:6" x14ac:dyDescent="0.25">
      <c r="A45" t="s">
        <v>1400</v>
      </c>
      <c r="B45">
        <v>-74893</v>
      </c>
      <c r="C45">
        <v>-16362233</v>
      </c>
      <c r="D45">
        <v>62608</v>
      </c>
      <c r="E45">
        <v>-7395873</v>
      </c>
      <c r="F45">
        <v>-1</v>
      </c>
    </row>
    <row r="46" spans="1:6" x14ac:dyDescent="0.25">
      <c r="A46" t="s">
        <v>1401</v>
      </c>
      <c r="B46">
        <v>17389</v>
      </c>
      <c r="C46">
        <v>-16362233</v>
      </c>
      <c r="D46">
        <v>62336</v>
      </c>
      <c r="E46">
        <v>-7701899</v>
      </c>
      <c r="F46">
        <v>100</v>
      </c>
    </row>
    <row r="47" spans="1:6" x14ac:dyDescent="0.25">
      <c r="A47" t="s">
        <v>1402</v>
      </c>
      <c r="B47">
        <v>113497</v>
      </c>
      <c r="C47">
        <v>-16362233</v>
      </c>
      <c r="D47">
        <v>62067</v>
      </c>
      <c r="E47">
        <v>-7931568</v>
      </c>
      <c r="F47">
        <v>100</v>
      </c>
    </row>
    <row r="48" spans="1:6" x14ac:dyDescent="0.25">
      <c r="A48" t="s">
        <v>1403</v>
      </c>
      <c r="B48">
        <v>22346</v>
      </c>
      <c r="C48">
        <v>-16362233</v>
      </c>
      <c r="D48">
        <v>62237</v>
      </c>
      <c r="E48">
        <v>-7780994</v>
      </c>
      <c r="F48">
        <v>100</v>
      </c>
    </row>
    <row r="49" spans="1:6" x14ac:dyDescent="0.25">
      <c r="A49" t="s">
        <v>1404</v>
      </c>
      <c r="B49">
        <v>17114</v>
      </c>
      <c r="C49">
        <v>-16362233</v>
      </c>
      <c r="D49">
        <v>62008</v>
      </c>
      <c r="E49">
        <v>-7846076</v>
      </c>
      <c r="F49">
        <v>100</v>
      </c>
    </row>
    <row r="50" spans="1:6" x14ac:dyDescent="0.25">
      <c r="A50" t="s">
        <v>1405</v>
      </c>
      <c r="B50">
        <v>-24637</v>
      </c>
      <c r="C50">
        <v>-22787011</v>
      </c>
      <c r="D50">
        <v>113105</v>
      </c>
      <c r="E50">
        <v>-8781761</v>
      </c>
      <c r="F50">
        <v>0</v>
      </c>
    </row>
    <row r="51" spans="1:6" x14ac:dyDescent="0.25">
      <c r="A51" t="s">
        <v>1406</v>
      </c>
      <c r="B51">
        <v>-173776</v>
      </c>
      <c r="C51">
        <v>-22787011</v>
      </c>
      <c r="D51">
        <v>113003</v>
      </c>
      <c r="E51">
        <v>-8580186</v>
      </c>
      <c r="F51">
        <v>-2</v>
      </c>
    </row>
    <row r="52" spans="1:6" x14ac:dyDescent="0.25">
      <c r="A52" t="s">
        <v>1407</v>
      </c>
      <c r="B52">
        <v>-132688</v>
      </c>
      <c r="C52">
        <v>-22787011</v>
      </c>
      <c r="D52">
        <v>112947</v>
      </c>
      <c r="E52">
        <v>-8409578</v>
      </c>
      <c r="F52">
        <v>-2</v>
      </c>
    </row>
    <row r="53" spans="1:6" x14ac:dyDescent="0.25">
      <c r="A53" t="s">
        <v>1408</v>
      </c>
      <c r="B53">
        <v>-130613</v>
      </c>
      <c r="C53">
        <v>-22787011</v>
      </c>
      <c r="D53">
        <v>112986</v>
      </c>
      <c r="E53">
        <v>-8213380</v>
      </c>
      <c r="F53">
        <v>-2</v>
      </c>
    </row>
    <row r="54" spans="1:6" x14ac:dyDescent="0.25">
      <c r="A54" t="s">
        <v>1409</v>
      </c>
      <c r="B54">
        <v>305649</v>
      </c>
      <c r="C54">
        <v>-22787011</v>
      </c>
      <c r="D54">
        <v>112640</v>
      </c>
      <c r="E54">
        <v>-9244479</v>
      </c>
      <c r="F54">
        <v>100</v>
      </c>
    </row>
    <row r="55" spans="1:6" x14ac:dyDescent="0.25">
      <c r="A55" t="s">
        <v>1410</v>
      </c>
      <c r="B55">
        <v>263131</v>
      </c>
      <c r="C55">
        <v>-22787011</v>
      </c>
      <c r="D55">
        <v>112468</v>
      </c>
      <c r="E55">
        <v>-9196620</v>
      </c>
      <c r="F55">
        <v>100</v>
      </c>
    </row>
    <row r="56" spans="1:6" x14ac:dyDescent="0.25">
      <c r="A56" t="s">
        <v>1411</v>
      </c>
      <c r="B56">
        <v>598598</v>
      </c>
      <c r="C56">
        <v>-22787011</v>
      </c>
      <c r="D56">
        <v>112478</v>
      </c>
      <c r="E56">
        <v>-9207565</v>
      </c>
      <c r="F56">
        <v>100</v>
      </c>
    </row>
    <row r="57" spans="1:6" x14ac:dyDescent="0.25">
      <c r="A57" t="s">
        <v>1412</v>
      </c>
      <c r="B57">
        <v>760401</v>
      </c>
      <c r="C57">
        <v>-22787011</v>
      </c>
      <c r="D57">
        <v>112558</v>
      </c>
      <c r="E57">
        <v>-8967881</v>
      </c>
      <c r="F57">
        <v>100</v>
      </c>
    </row>
    <row r="58" spans="1:6" x14ac:dyDescent="0.25">
      <c r="A58" t="s">
        <v>1413</v>
      </c>
      <c r="B58">
        <v>424039</v>
      </c>
      <c r="C58">
        <v>-22787011</v>
      </c>
      <c r="D58">
        <v>112274</v>
      </c>
      <c r="E58">
        <v>-9175125</v>
      </c>
      <c r="F58">
        <v>100</v>
      </c>
    </row>
    <row r="59" spans="1:6" x14ac:dyDescent="0.25">
      <c r="A59" t="s">
        <v>1414</v>
      </c>
      <c r="B59">
        <v>499536</v>
      </c>
      <c r="C59">
        <v>-22787011</v>
      </c>
      <c r="D59">
        <v>112102</v>
      </c>
      <c r="E59">
        <v>-8987527</v>
      </c>
      <c r="F59">
        <v>100</v>
      </c>
    </row>
    <row r="60" spans="1:6" x14ac:dyDescent="0.25">
      <c r="A60" t="s">
        <v>1415</v>
      </c>
      <c r="B60">
        <v>184830</v>
      </c>
      <c r="C60">
        <v>-22787011</v>
      </c>
      <c r="D60">
        <v>111955</v>
      </c>
      <c r="E60">
        <v>-8669640</v>
      </c>
      <c r="F60">
        <v>100</v>
      </c>
    </row>
    <row r="61" spans="1:6" x14ac:dyDescent="0.25">
      <c r="A61" t="s">
        <v>1416</v>
      </c>
      <c r="B61">
        <v>554920</v>
      </c>
      <c r="C61">
        <v>-22787011</v>
      </c>
      <c r="D61">
        <v>111884</v>
      </c>
      <c r="E61">
        <v>-8736668</v>
      </c>
      <c r="F61">
        <v>100</v>
      </c>
    </row>
    <row r="62" spans="1:6" x14ac:dyDescent="0.25">
      <c r="A62" t="s">
        <v>1417</v>
      </c>
      <c r="B62">
        <v>266951</v>
      </c>
      <c r="C62">
        <v>-22787011</v>
      </c>
      <c r="D62">
        <v>111800</v>
      </c>
      <c r="E62">
        <v>-8805672</v>
      </c>
      <c r="F62">
        <v>100</v>
      </c>
    </row>
    <row r="63" spans="1:6" x14ac:dyDescent="0.25">
      <c r="A63" t="s">
        <v>1418</v>
      </c>
      <c r="B63">
        <v>470766</v>
      </c>
      <c r="C63">
        <v>-22787011</v>
      </c>
      <c r="D63">
        <v>111795</v>
      </c>
      <c r="E63">
        <v>-9274339</v>
      </c>
      <c r="F63">
        <v>100</v>
      </c>
    </row>
    <row r="64" spans="1:6" x14ac:dyDescent="0.25">
      <c r="A64" t="s">
        <v>1419</v>
      </c>
      <c r="B64">
        <v>374193</v>
      </c>
      <c r="C64">
        <v>-22787011</v>
      </c>
      <c r="D64">
        <v>111450</v>
      </c>
      <c r="E64">
        <v>-9253195</v>
      </c>
      <c r="F64">
        <v>100</v>
      </c>
    </row>
    <row r="65" spans="1:6" x14ac:dyDescent="0.25">
      <c r="A65" t="s">
        <v>1420</v>
      </c>
      <c r="B65">
        <v>289717</v>
      </c>
      <c r="C65">
        <v>-22787011</v>
      </c>
      <c r="D65">
        <v>111184</v>
      </c>
      <c r="E65">
        <v>-9319883</v>
      </c>
      <c r="F65">
        <v>100</v>
      </c>
    </row>
    <row r="66" spans="1:6" x14ac:dyDescent="0.25">
      <c r="A66" t="s">
        <v>1421</v>
      </c>
      <c r="B66">
        <v>208564</v>
      </c>
      <c r="C66">
        <v>-22787011</v>
      </c>
      <c r="D66">
        <v>111138</v>
      </c>
      <c r="E66">
        <v>-9257121</v>
      </c>
      <c r="F66">
        <v>100</v>
      </c>
    </row>
    <row r="67" spans="1:6" x14ac:dyDescent="0.25">
      <c r="A67" t="s">
        <v>1422</v>
      </c>
      <c r="B67">
        <v>285156</v>
      </c>
      <c r="C67">
        <v>-22787011</v>
      </c>
      <c r="D67">
        <v>111066</v>
      </c>
      <c r="E67">
        <v>-9562947</v>
      </c>
      <c r="F67">
        <v>100</v>
      </c>
    </row>
    <row r="68" spans="1:6" x14ac:dyDescent="0.25">
      <c r="A68" t="s">
        <v>1423</v>
      </c>
      <c r="B68">
        <v>418890</v>
      </c>
      <c r="C68">
        <v>-22787011</v>
      </c>
      <c r="D68">
        <v>110984</v>
      </c>
      <c r="E68">
        <v>-10119401</v>
      </c>
      <c r="F68">
        <v>100</v>
      </c>
    </row>
    <row r="69" spans="1:6" x14ac:dyDescent="0.25">
      <c r="A69" t="s">
        <v>1424</v>
      </c>
      <c r="B69">
        <v>298053</v>
      </c>
      <c r="C69">
        <v>-22787011</v>
      </c>
      <c r="D69">
        <v>110904</v>
      </c>
      <c r="E69">
        <v>-10082750</v>
      </c>
      <c r="F69">
        <v>100</v>
      </c>
    </row>
    <row r="70" spans="1:6" x14ac:dyDescent="0.25">
      <c r="A70" t="s">
        <v>1425</v>
      </c>
      <c r="B70">
        <v>430848</v>
      </c>
      <c r="C70">
        <v>-27361927</v>
      </c>
      <c r="D70">
        <v>119751</v>
      </c>
      <c r="E70">
        <v>-14405021</v>
      </c>
      <c r="F70">
        <v>100</v>
      </c>
    </row>
    <row r="71" spans="1:6" x14ac:dyDescent="0.25">
      <c r="A71" t="s">
        <v>1426</v>
      </c>
      <c r="B71">
        <v>568548</v>
      </c>
      <c r="C71">
        <v>-27361927</v>
      </c>
      <c r="D71">
        <v>119356</v>
      </c>
      <c r="E71">
        <v>-14505669</v>
      </c>
      <c r="F71">
        <v>100</v>
      </c>
    </row>
    <row r="72" spans="1:6" x14ac:dyDescent="0.25">
      <c r="A72" t="s">
        <v>1427</v>
      </c>
      <c r="B72">
        <v>368347</v>
      </c>
      <c r="C72">
        <v>-27361927</v>
      </c>
      <c r="D72">
        <v>119277</v>
      </c>
      <c r="E72">
        <v>-14302480</v>
      </c>
      <c r="F72">
        <v>100</v>
      </c>
    </row>
    <row r="73" spans="1:6" x14ac:dyDescent="0.25">
      <c r="A73" t="s">
        <v>1428</v>
      </c>
      <c r="B73">
        <v>573384</v>
      </c>
      <c r="C73">
        <v>-27361927</v>
      </c>
      <c r="D73">
        <v>119430</v>
      </c>
      <c r="E73">
        <v>-14674192</v>
      </c>
      <c r="F73">
        <v>100</v>
      </c>
    </row>
    <row r="74" spans="1:6" x14ac:dyDescent="0.25">
      <c r="A74" t="s">
        <v>1429</v>
      </c>
      <c r="B74">
        <v>582644</v>
      </c>
      <c r="C74">
        <v>-27361927</v>
      </c>
      <c r="D74">
        <v>119403</v>
      </c>
      <c r="E74">
        <v>-14596508</v>
      </c>
      <c r="F74">
        <v>100</v>
      </c>
    </row>
    <row r="75" spans="1:6" x14ac:dyDescent="0.25">
      <c r="A75" t="s">
        <v>1430</v>
      </c>
      <c r="B75">
        <v>618514</v>
      </c>
      <c r="C75">
        <v>-27361927</v>
      </c>
      <c r="D75">
        <v>119095</v>
      </c>
      <c r="E75">
        <v>-14721473</v>
      </c>
      <c r="F75">
        <v>100</v>
      </c>
    </row>
    <row r="76" spans="1:6" x14ac:dyDescent="0.25">
      <c r="A76" t="s">
        <v>1431</v>
      </c>
      <c r="B76">
        <v>435724</v>
      </c>
      <c r="C76">
        <v>-27361927</v>
      </c>
      <c r="D76">
        <v>118930</v>
      </c>
      <c r="E76">
        <v>-14699666</v>
      </c>
      <c r="F76">
        <v>100</v>
      </c>
    </row>
    <row r="77" spans="1:6" x14ac:dyDescent="0.25">
      <c r="A77" t="s">
        <v>1432</v>
      </c>
      <c r="B77">
        <v>320390</v>
      </c>
      <c r="C77">
        <v>-27361927</v>
      </c>
      <c r="D77">
        <v>119015</v>
      </c>
      <c r="E77">
        <v>-14500311</v>
      </c>
      <c r="F77">
        <v>100</v>
      </c>
    </row>
    <row r="78" spans="1:6" x14ac:dyDescent="0.25">
      <c r="A78" t="s">
        <v>1433</v>
      </c>
      <c r="B78">
        <v>278228</v>
      </c>
      <c r="C78">
        <v>-27361927</v>
      </c>
      <c r="D78">
        <v>119151</v>
      </c>
      <c r="E78">
        <v>-14217252</v>
      </c>
      <c r="F78">
        <v>100</v>
      </c>
    </row>
    <row r="79" spans="1:6" x14ac:dyDescent="0.25">
      <c r="A79" t="s">
        <v>1434</v>
      </c>
      <c r="B79">
        <v>412254</v>
      </c>
      <c r="C79">
        <v>-27361927</v>
      </c>
      <c r="D79">
        <v>119011</v>
      </c>
      <c r="E79">
        <v>-14559968</v>
      </c>
      <c r="F79">
        <v>100</v>
      </c>
    </row>
    <row r="80" spans="1:6" x14ac:dyDescent="0.25">
      <c r="A80" t="s">
        <v>1435</v>
      </c>
      <c r="B80">
        <v>638442</v>
      </c>
      <c r="C80">
        <v>-27361927</v>
      </c>
      <c r="D80">
        <v>118622</v>
      </c>
      <c r="E80">
        <v>-15035457</v>
      </c>
      <c r="F80">
        <v>100</v>
      </c>
    </row>
    <row r="81" spans="1:6" x14ac:dyDescent="0.25">
      <c r="A81" t="s">
        <v>1436</v>
      </c>
      <c r="B81">
        <v>536016</v>
      </c>
      <c r="C81">
        <v>-27361927</v>
      </c>
      <c r="D81">
        <v>118620</v>
      </c>
      <c r="E81">
        <v>-15014189</v>
      </c>
      <c r="F81">
        <v>100</v>
      </c>
    </row>
    <row r="82" spans="1:6" x14ac:dyDescent="0.25">
      <c r="A82" t="s">
        <v>1437</v>
      </c>
      <c r="B82">
        <v>591290</v>
      </c>
      <c r="C82">
        <v>-27361927</v>
      </c>
      <c r="D82">
        <v>118402</v>
      </c>
      <c r="E82">
        <v>-15208119</v>
      </c>
      <c r="F82">
        <v>100</v>
      </c>
    </row>
    <row r="83" spans="1:6" x14ac:dyDescent="0.25">
      <c r="A83" t="s">
        <v>1438</v>
      </c>
      <c r="B83">
        <v>436950</v>
      </c>
      <c r="C83">
        <v>-27361927</v>
      </c>
      <c r="D83">
        <v>118416</v>
      </c>
      <c r="E83">
        <v>-15128008</v>
      </c>
      <c r="F83">
        <v>100</v>
      </c>
    </row>
    <row r="84" spans="1:6" x14ac:dyDescent="0.25">
      <c r="A84" t="s">
        <v>1439</v>
      </c>
      <c r="B84">
        <v>426336</v>
      </c>
      <c r="C84">
        <v>-27361927</v>
      </c>
      <c r="D84">
        <v>118240</v>
      </c>
      <c r="E84">
        <v>-15171235</v>
      </c>
      <c r="F84">
        <v>100</v>
      </c>
    </row>
    <row r="85" spans="1:6" x14ac:dyDescent="0.25">
      <c r="A85" t="s">
        <v>1440</v>
      </c>
      <c r="B85">
        <v>737237</v>
      </c>
      <c r="C85">
        <v>-27361927</v>
      </c>
      <c r="D85">
        <v>118058</v>
      </c>
      <c r="E85">
        <v>-15479641</v>
      </c>
      <c r="F85">
        <v>100</v>
      </c>
    </row>
    <row r="86" spans="1:6" x14ac:dyDescent="0.25">
      <c r="A86" t="s">
        <v>1441</v>
      </c>
      <c r="B86">
        <v>786910</v>
      </c>
      <c r="C86">
        <v>-27361927</v>
      </c>
      <c r="D86">
        <v>118145</v>
      </c>
      <c r="E86">
        <v>-15270022</v>
      </c>
      <c r="F86">
        <v>100</v>
      </c>
    </row>
    <row r="87" spans="1:6" x14ac:dyDescent="0.25">
      <c r="A87" t="s">
        <v>1442</v>
      </c>
      <c r="B87">
        <v>846778</v>
      </c>
      <c r="C87">
        <v>-27361927</v>
      </c>
      <c r="D87">
        <v>118057</v>
      </c>
      <c r="E87">
        <v>-15344107</v>
      </c>
      <c r="F87">
        <v>100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7"/>
  <sheetViews>
    <sheetView workbookViewId="0">
      <selection activeCell="R9" sqref="R9"/>
    </sheetView>
  </sheetViews>
  <sheetFormatPr defaultRowHeight="15" x14ac:dyDescent="0.25"/>
  <sheetData>
    <row r="1" spans="1:5" x14ac:dyDescent="0.25">
      <c r="A1" s="1" t="s">
        <v>1353</v>
      </c>
      <c r="B1" s="1" t="s">
        <v>1354</v>
      </c>
      <c r="C1" s="1" t="s">
        <v>1355</v>
      </c>
      <c r="D1" s="1" t="s">
        <v>81</v>
      </c>
      <c r="E1" s="1" t="s">
        <v>22</v>
      </c>
    </row>
    <row r="2" spans="1:5" x14ac:dyDescent="0.25">
      <c r="A2" t="s">
        <v>1357</v>
      </c>
      <c r="B2">
        <v>-17398</v>
      </c>
      <c r="C2">
        <v>-6518876</v>
      </c>
      <c r="D2">
        <v>47190</v>
      </c>
      <c r="E2">
        <v>-660892</v>
      </c>
    </row>
    <row r="3" spans="1:5" x14ac:dyDescent="0.25">
      <c r="A3" t="s">
        <v>1358</v>
      </c>
      <c r="B3">
        <v>26305</v>
      </c>
      <c r="C3">
        <v>-6518876</v>
      </c>
      <c r="D3">
        <v>46837</v>
      </c>
      <c r="E3">
        <v>-677801</v>
      </c>
    </row>
    <row r="4" spans="1:5" x14ac:dyDescent="0.25">
      <c r="A4" t="s">
        <v>1359</v>
      </c>
      <c r="B4">
        <v>-92510</v>
      </c>
      <c r="C4">
        <v>-6518876</v>
      </c>
      <c r="D4">
        <v>46927</v>
      </c>
      <c r="E4">
        <v>-395888</v>
      </c>
    </row>
    <row r="5" spans="1:5" x14ac:dyDescent="0.25">
      <c r="A5" t="s">
        <v>1360</v>
      </c>
      <c r="B5">
        <v>29164</v>
      </c>
      <c r="C5">
        <v>-6518876</v>
      </c>
      <c r="D5">
        <v>46675</v>
      </c>
      <c r="E5">
        <v>-675860</v>
      </c>
    </row>
    <row r="6" spans="1:5" x14ac:dyDescent="0.25">
      <c r="A6" t="s">
        <v>1361</v>
      </c>
      <c r="B6">
        <v>-16279</v>
      </c>
      <c r="C6">
        <v>-6518876</v>
      </c>
      <c r="D6">
        <v>46849</v>
      </c>
      <c r="E6">
        <v>-402876</v>
      </c>
    </row>
    <row r="7" spans="1:5" x14ac:dyDescent="0.25">
      <c r="A7" t="s">
        <v>1362</v>
      </c>
      <c r="B7">
        <v>-47081</v>
      </c>
      <c r="C7">
        <v>-6518876</v>
      </c>
      <c r="D7">
        <v>46875</v>
      </c>
      <c r="E7">
        <v>-359692</v>
      </c>
    </row>
    <row r="8" spans="1:5" x14ac:dyDescent="0.25">
      <c r="A8" t="s">
        <v>1363</v>
      </c>
      <c r="B8">
        <v>12793</v>
      </c>
      <c r="C8">
        <v>-6518876</v>
      </c>
      <c r="D8">
        <v>46971</v>
      </c>
      <c r="E8">
        <v>-403449</v>
      </c>
    </row>
    <row r="9" spans="1:5" x14ac:dyDescent="0.25">
      <c r="A9" t="s">
        <v>1364</v>
      </c>
      <c r="B9">
        <v>41386</v>
      </c>
      <c r="C9">
        <v>-6518876</v>
      </c>
      <c r="D9">
        <v>46789</v>
      </c>
      <c r="E9">
        <v>-415971</v>
      </c>
    </row>
    <row r="10" spans="1:5" x14ac:dyDescent="0.25">
      <c r="A10" t="s">
        <v>1365</v>
      </c>
      <c r="B10">
        <v>116644</v>
      </c>
      <c r="C10">
        <v>-6518876</v>
      </c>
      <c r="D10">
        <v>46641</v>
      </c>
      <c r="E10">
        <v>-519249</v>
      </c>
    </row>
    <row r="11" spans="1:5" x14ac:dyDescent="0.25">
      <c r="A11" t="s">
        <v>1366</v>
      </c>
      <c r="B11">
        <v>186748</v>
      </c>
      <c r="C11">
        <v>-6518876</v>
      </c>
      <c r="D11">
        <v>46335</v>
      </c>
      <c r="E11">
        <v>-957605</v>
      </c>
    </row>
    <row r="12" spans="1:5" x14ac:dyDescent="0.25">
      <c r="A12" t="s">
        <v>1367</v>
      </c>
      <c r="B12">
        <v>138480</v>
      </c>
      <c r="C12">
        <v>-6518876</v>
      </c>
      <c r="D12">
        <v>46290</v>
      </c>
      <c r="E12">
        <v>-876580</v>
      </c>
    </row>
    <row r="13" spans="1:5" x14ac:dyDescent="0.25">
      <c r="A13" t="s">
        <v>1368</v>
      </c>
      <c r="B13">
        <v>220418</v>
      </c>
      <c r="C13">
        <v>-6518876</v>
      </c>
      <c r="D13">
        <v>45987</v>
      </c>
      <c r="E13">
        <v>-1051779</v>
      </c>
    </row>
    <row r="14" spans="1:5" x14ac:dyDescent="0.25">
      <c r="A14" t="s">
        <v>1369</v>
      </c>
      <c r="B14">
        <v>216484</v>
      </c>
      <c r="C14">
        <v>-5735929</v>
      </c>
      <c r="D14">
        <v>46260</v>
      </c>
      <c r="E14">
        <v>-2528909</v>
      </c>
    </row>
    <row r="15" spans="1:5" x14ac:dyDescent="0.25">
      <c r="A15" t="s">
        <v>1370</v>
      </c>
      <c r="B15">
        <v>270521</v>
      </c>
      <c r="C15">
        <v>-5735929</v>
      </c>
      <c r="D15">
        <v>46084</v>
      </c>
      <c r="E15">
        <v>-2678425</v>
      </c>
    </row>
    <row r="16" spans="1:5" x14ac:dyDescent="0.25">
      <c r="A16" t="s">
        <v>1371</v>
      </c>
      <c r="B16">
        <v>300077</v>
      </c>
      <c r="C16">
        <v>-5735929</v>
      </c>
      <c r="D16">
        <v>45950</v>
      </c>
      <c r="E16">
        <v>-2765749</v>
      </c>
    </row>
    <row r="17" spans="1:5" x14ac:dyDescent="0.25">
      <c r="A17" t="s">
        <v>1372</v>
      </c>
      <c r="B17">
        <v>290211</v>
      </c>
      <c r="C17">
        <v>-5735929</v>
      </c>
      <c r="D17">
        <v>45907</v>
      </c>
      <c r="E17">
        <v>-2775362</v>
      </c>
    </row>
    <row r="18" spans="1:5" x14ac:dyDescent="0.25">
      <c r="A18" t="s">
        <v>1373</v>
      </c>
      <c r="B18">
        <v>325843</v>
      </c>
      <c r="C18">
        <v>-5735929</v>
      </c>
      <c r="D18">
        <v>45934</v>
      </c>
      <c r="E18">
        <v>-2879874</v>
      </c>
    </row>
    <row r="19" spans="1:5" x14ac:dyDescent="0.25">
      <c r="A19" t="s">
        <v>1374</v>
      </c>
      <c r="B19">
        <v>323348</v>
      </c>
      <c r="C19">
        <v>-4819379</v>
      </c>
      <c r="D19">
        <v>8942</v>
      </c>
      <c r="E19">
        <v>-3974866</v>
      </c>
    </row>
    <row r="20" spans="1:5" x14ac:dyDescent="0.25">
      <c r="A20" t="s">
        <v>1375</v>
      </c>
      <c r="B20">
        <v>329565</v>
      </c>
      <c r="C20">
        <v>-4819379</v>
      </c>
      <c r="D20">
        <v>8956</v>
      </c>
      <c r="E20">
        <v>-3945150</v>
      </c>
    </row>
    <row r="21" spans="1:5" x14ac:dyDescent="0.25">
      <c r="A21" t="s">
        <v>1376</v>
      </c>
      <c r="B21">
        <v>323646</v>
      </c>
      <c r="C21">
        <v>-4819379</v>
      </c>
      <c r="D21">
        <v>8985</v>
      </c>
      <c r="E21">
        <v>-3926376</v>
      </c>
    </row>
    <row r="22" spans="1:5" x14ac:dyDescent="0.25">
      <c r="A22" t="s">
        <v>1377</v>
      </c>
      <c r="B22">
        <v>336025</v>
      </c>
      <c r="C22">
        <v>-4819379</v>
      </c>
      <c r="D22">
        <v>8962</v>
      </c>
      <c r="E22">
        <v>-3956098</v>
      </c>
    </row>
    <row r="23" spans="1:5" x14ac:dyDescent="0.25">
      <c r="A23" t="s">
        <v>1378</v>
      </c>
      <c r="B23">
        <v>335750</v>
      </c>
      <c r="C23">
        <v>-4819379</v>
      </c>
      <c r="D23">
        <v>8984</v>
      </c>
      <c r="E23">
        <v>-3961013</v>
      </c>
    </row>
    <row r="24" spans="1:5" x14ac:dyDescent="0.25">
      <c r="A24" t="s">
        <v>1379</v>
      </c>
      <c r="B24">
        <v>331002</v>
      </c>
      <c r="C24">
        <v>-4819379</v>
      </c>
      <c r="D24">
        <v>8968</v>
      </c>
      <c r="E24">
        <v>-3944646</v>
      </c>
    </row>
    <row r="25" spans="1:5" x14ac:dyDescent="0.25">
      <c r="A25" t="s">
        <v>1380</v>
      </c>
      <c r="B25">
        <v>327710</v>
      </c>
      <c r="C25">
        <v>-4819379</v>
      </c>
      <c r="D25">
        <v>8959</v>
      </c>
      <c r="E25">
        <v>-3936027</v>
      </c>
    </row>
    <row r="26" spans="1:5" x14ac:dyDescent="0.25">
      <c r="A26" t="s">
        <v>1381</v>
      </c>
      <c r="B26">
        <v>323721</v>
      </c>
      <c r="C26">
        <v>-4819379</v>
      </c>
      <c r="D26">
        <v>9004</v>
      </c>
      <c r="E26">
        <v>-3911774</v>
      </c>
    </row>
    <row r="27" spans="1:5" x14ac:dyDescent="0.25">
      <c r="A27" t="s">
        <v>1382</v>
      </c>
      <c r="B27">
        <v>330653</v>
      </c>
      <c r="C27">
        <v>-4819379</v>
      </c>
      <c r="D27">
        <v>9015</v>
      </c>
      <c r="E27">
        <v>-3912006</v>
      </c>
    </row>
    <row r="28" spans="1:5" x14ac:dyDescent="0.25">
      <c r="A28" t="s">
        <v>1383</v>
      </c>
      <c r="B28">
        <v>323277</v>
      </c>
      <c r="C28">
        <v>-4819379</v>
      </c>
      <c r="D28">
        <v>9017</v>
      </c>
      <c r="E28">
        <v>-3936365</v>
      </c>
    </row>
    <row r="29" spans="1:5" x14ac:dyDescent="0.25">
      <c r="A29" t="s">
        <v>1384</v>
      </c>
      <c r="B29">
        <v>329422</v>
      </c>
      <c r="C29">
        <v>-4819379</v>
      </c>
      <c r="D29">
        <v>8965</v>
      </c>
      <c r="E29">
        <v>-3945522</v>
      </c>
    </row>
    <row r="30" spans="1:5" x14ac:dyDescent="0.25">
      <c r="A30" t="s">
        <v>1385</v>
      </c>
      <c r="B30">
        <v>338487</v>
      </c>
      <c r="C30">
        <v>-4819379</v>
      </c>
      <c r="D30">
        <v>8910</v>
      </c>
      <c r="E30">
        <v>-3962015</v>
      </c>
    </row>
    <row r="31" spans="1:5" x14ac:dyDescent="0.25">
      <c r="A31" t="s">
        <v>1386</v>
      </c>
      <c r="B31">
        <v>329441</v>
      </c>
      <c r="C31">
        <v>-4819379</v>
      </c>
      <c r="D31">
        <v>8884</v>
      </c>
      <c r="E31">
        <v>-3953857</v>
      </c>
    </row>
    <row r="32" spans="1:5" x14ac:dyDescent="0.25">
      <c r="A32" t="s">
        <v>1387</v>
      </c>
      <c r="B32">
        <v>326152</v>
      </c>
      <c r="C32">
        <v>-4819379</v>
      </c>
      <c r="D32">
        <v>8871</v>
      </c>
      <c r="E32">
        <v>-3979865</v>
      </c>
    </row>
    <row r="33" spans="1:5" x14ac:dyDescent="0.25">
      <c r="A33" t="s">
        <v>1388</v>
      </c>
      <c r="B33">
        <v>313291</v>
      </c>
      <c r="C33">
        <v>-4819379</v>
      </c>
      <c r="D33">
        <v>8841</v>
      </c>
      <c r="E33">
        <v>-3976775</v>
      </c>
    </row>
    <row r="34" spans="1:5" x14ac:dyDescent="0.25">
      <c r="A34" t="s">
        <v>1389</v>
      </c>
      <c r="B34">
        <v>317920</v>
      </c>
      <c r="C34">
        <v>-4819379</v>
      </c>
      <c r="D34">
        <v>8863</v>
      </c>
      <c r="E34">
        <v>-3980061</v>
      </c>
    </row>
    <row r="35" spans="1:5" x14ac:dyDescent="0.25">
      <c r="A35" t="s">
        <v>1390</v>
      </c>
      <c r="B35">
        <v>308354</v>
      </c>
      <c r="C35">
        <v>-4819379</v>
      </c>
      <c r="D35">
        <v>8917</v>
      </c>
      <c r="E35">
        <v>-3969076</v>
      </c>
    </row>
    <row r="36" spans="1:5" x14ac:dyDescent="0.25">
      <c r="A36" t="s">
        <v>1391</v>
      </c>
      <c r="B36">
        <v>204135</v>
      </c>
      <c r="C36">
        <v>-14662736</v>
      </c>
      <c r="D36">
        <v>26987</v>
      </c>
      <c r="E36">
        <v>-9880065</v>
      </c>
    </row>
    <row r="37" spans="1:5" x14ac:dyDescent="0.25">
      <c r="A37" t="s">
        <v>1392</v>
      </c>
      <c r="B37">
        <v>93340</v>
      </c>
      <c r="C37">
        <v>-14662736</v>
      </c>
      <c r="D37">
        <v>27034</v>
      </c>
      <c r="E37">
        <v>-9790123</v>
      </c>
    </row>
    <row r="38" spans="1:5" x14ac:dyDescent="0.25">
      <c r="A38" t="s">
        <v>1393</v>
      </c>
      <c r="B38">
        <v>156684</v>
      </c>
      <c r="C38">
        <v>-14662736</v>
      </c>
      <c r="D38">
        <v>27068</v>
      </c>
      <c r="E38">
        <v>-9788971</v>
      </c>
    </row>
    <row r="39" spans="1:5" x14ac:dyDescent="0.25">
      <c r="A39" t="s">
        <v>1394</v>
      </c>
      <c r="B39">
        <v>88536</v>
      </c>
      <c r="C39">
        <v>-14662736</v>
      </c>
      <c r="D39">
        <v>26887</v>
      </c>
      <c r="E39">
        <v>-9455038</v>
      </c>
    </row>
    <row r="40" spans="1:5" x14ac:dyDescent="0.25">
      <c r="A40" t="s">
        <v>1395</v>
      </c>
      <c r="B40">
        <v>245741</v>
      </c>
      <c r="C40">
        <v>-14662736</v>
      </c>
      <c r="D40">
        <v>26929</v>
      </c>
      <c r="E40">
        <v>-9671645</v>
      </c>
    </row>
    <row r="41" spans="1:5" x14ac:dyDescent="0.25">
      <c r="A41" t="s">
        <v>1396</v>
      </c>
      <c r="B41">
        <v>177930</v>
      </c>
      <c r="C41">
        <v>-14662736</v>
      </c>
      <c r="D41">
        <v>26801</v>
      </c>
      <c r="E41">
        <v>-9719342</v>
      </c>
    </row>
    <row r="42" spans="1:5" x14ac:dyDescent="0.25">
      <c r="A42" t="s">
        <v>1397</v>
      </c>
      <c r="B42">
        <v>132841</v>
      </c>
      <c r="C42">
        <v>-14662736</v>
      </c>
      <c r="D42">
        <v>26695</v>
      </c>
      <c r="E42">
        <v>-9733460</v>
      </c>
    </row>
    <row r="43" spans="1:5" x14ac:dyDescent="0.25">
      <c r="A43" t="s">
        <v>1398</v>
      </c>
      <c r="B43">
        <v>99125</v>
      </c>
      <c r="C43">
        <v>-14662736</v>
      </c>
      <c r="D43">
        <v>26684</v>
      </c>
      <c r="E43">
        <v>-9740645</v>
      </c>
    </row>
    <row r="44" spans="1:5" x14ac:dyDescent="0.25">
      <c r="A44" t="s">
        <v>1399</v>
      </c>
      <c r="B44">
        <v>151999</v>
      </c>
      <c r="C44">
        <v>-14662736</v>
      </c>
      <c r="D44">
        <v>26617</v>
      </c>
      <c r="E44">
        <v>-9891874</v>
      </c>
    </row>
    <row r="45" spans="1:5" x14ac:dyDescent="0.25">
      <c r="A45" t="s">
        <v>1400</v>
      </c>
      <c r="B45">
        <v>131838</v>
      </c>
      <c r="C45">
        <v>-14662736</v>
      </c>
      <c r="D45">
        <v>26652</v>
      </c>
      <c r="E45">
        <v>-9851983</v>
      </c>
    </row>
    <row r="46" spans="1:5" x14ac:dyDescent="0.25">
      <c r="A46" t="s">
        <v>1401</v>
      </c>
      <c r="B46">
        <v>170966</v>
      </c>
      <c r="C46">
        <v>-14662736</v>
      </c>
      <c r="D46">
        <v>26546</v>
      </c>
      <c r="E46">
        <v>-10013229</v>
      </c>
    </row>
    <row r="47" spans="1:5" x14ac:dyDescent="0.25">
      <c r="A47" t="s">
        <v>1402</v>
      </c>
      <c r="B47">
        <v>226469</v>
      </c>
      <c r="C47">
        <v>-14662736</v>
      </c>
      <c r="D47">
        <v>26440</v>
      </c>
      <c r="E47">
        <v>-10133337</v>
      </c>
    </row>
    <row r="48" spans="1:5" x14ac:dyDescent="0.25">
      <c r="A48" t="s">
        <v>1403</v>
      </c>
      <c r="B48">
        <v>166087</v>
      </c>
      <c r="C48">
        <v>-14662736</v>
      </c>
      <c r="D48">
        <v>26507</v>
      </c>
      <c r="E48">
        <v>-10054598</v>
      </c>
    </row>
    <row r="49" spans="1:5" x14ac:dyDescent="0.25">
      <c r="A49" t="s">
        <v>1404</v>
      </c>
      <c r="B49">
        <v>165853</v>
      </c>
      <c r="C49">
        <v>-14662736</v>
      </c>
      <c r="D49">
        <v>26418</v>
      </c>
      <c r="E49">
        <v>-10088770</v>
      </c>
    </row>
    <row r="50" spans="1:5" x14ac:dyDescent="0.25">
      <c r="A50" t="s">
        <v>1405</v>
      </c>
      <c r="B50">
        <v>117314</v>
      </c>
      <c r="C50">
        <v>-21087514</v>
      </c>
      <c r="D50">
        <v>77491</v>
      </c>
      <c r="E50">
        <v>-11027439</v>
      </c>
    </row>
    <row r="51" spans="1:5" x14ac:dyDescent="0.25">
      <c r="A51" t="s">
        <v>1406</v>
      </c>
      <c r="B51">
        <v>29694</v>
      </c>
      <c r="C51">
        <v>-21087514</v>
      </c>
      <c r="D51">
        <v>77434</v>
      </c>
      <c r="E51">
        <v>-10889485</v>
      </c>
    </row>
    <row r="52" spans="1:5" x14ac:dyDescent="0.25">
      <c r="A52" t="s">
        <v>1407</v>
      </c>
      <c r="B52">
        <v>81881</v>
      </c>
      <c r="C52">
        <v>-21087514</v>
      </c>
      <c r="D52">
        <v>77384</v>
      </c>
      <c r="E52">
        <v>-10772372</v>
      </c>
    </row>
    <row r="53" spans="1:5" x14ac:dyDescent="0.25">
      <c r="A53" t="s">
        <v>1408</v>
      </c>
      <c r="B53">
        <v>103334</v>
      </c>
      <c r="C53">
        <v>-21087514</v>
      </c>
      <c r="D53">
        <v>77346</v>
      </c>
      <c r="E53">
        <v>-10636793</v>
      </c>
    </row>
    <row r="54" spans="1:5" x14ac:dyDescent="0.25">
      <c r="A54" t="s">
        <v>1409</v>
      </c>
      <c r="B54">
        <v>332660</v>
      </c>
      <c r="C54">
        <v>-21087514</v>
      </c>
      <c r="D54">
        <v>77252</v>
      </c>
      <c r="E54">
        <v>-11347476</v>
      </c>
    </row>
    <row r="55" spans="1:5" x14ac:dyDescent="0.25">
      <c r="A55" t="s">
        <v>1410</v>
      </c>
      <c r="B55">
        <v>307841</v>
      </c>
      <c r="C55">
        <v>-21087514</v>
      </c>
      <c r="D55">
        <v>77100</v>
      </c>
      <c r="E55">
        <v>-11314725</v>
      </c>
    </row>
    <row r="56" spans="1:5" x14ac:dyDescent="0.25">
      <c r="A56" t="s">
        <v>1411</v>
      </c>
      <c r="B56">
        <v>566276</v>
      </c>
      <c r="C56">
        <v>-21087514</v>
      </c>
      <c r="D56">
        <v>77057</v>
      </c>
      <c r="E56">
        <v>-11321638</v>
      </c>
    </row>
    <row r="57" spans="1:5" x14ac:dyDescent="0.25">
      <c r="A57" t="s">
        <v>1412</v>
      </c>
      <c r="B57">
        <v>718118</v>
      </c>
      <c r="C57">
        <v>-21087514</v>
      </c>
      <c r="D57">
        <v>77028</v>
      </c>
      <c r="E57">
        <v>-11155852</v>
      </c>
    </row>
    <row r="58" spans="1:5" x14ac:dyDescent="0.25">
      <c r="A58" t="s">
        <v>1413</v>
      </c>
      <c r="B58">
        <v>480142</v>
      </c>
      <c r="C58">
        <v>-21087514</v>
      </c>
      <c r="D58">
        <v>76944</v>
      </c>
      <c r="E58">
        <v>-11300280</v>
      </c>
    </row>
    <row r="59" spans="1:5" x14ac:dyDescent="0.25">
      <c r="A59" t="s">
        <v>1414</v>
      </c>
      <c r="B59">
        <v>549901</v>
      </c>
      <c r="C59">
        <v>-21087514</v>
      </c>
      <c r="D59">
        <v>76875</v>
      </c>
      <c r="E59">
        <v>-11173125</v>
      </c>
    </row>
    <row r="60" spans="1:5" x14ac:dyDescent="0.25">
      <c r="A60" t="s">
        <v>1415</v>
      </c>
      <c r="B60">
        <v>294590</v>
      </c>
      <c r="C60">
        <v>-21087514</v>
      </c>
      <c r="D60">
        <v>76809</v>
      </c>
      <c r="E60">
        <v>-10955632</v>
      </c>
    </row>
    <row r="61" spans="1:5" x14ac:dyDescent="0.25">
      <c r="A61" t="s">
        <v>1416</v>
      </c>
      <c r="B61">
        <v>530523</v>
      </c>
      <c r="C61">
        <v>-21087514</v>
      </c>
      <c r="D61">
        <v>76672</v>
      </c>
      <c r="E61">
        <v>-10991324</v>
      </c>
    </row>
    <row r="62" spans="1:5" x14ac:dyDescent="0.25">
      <c r="A62" t="s">
        <v>1417</v>
      </c>
      <c r="B62">
        <v>429801</v>
      </c>
      <c r="C62">
        <v>-19967667</v>
      </c>
      <c r="D62">
        <v>34136</v>
      </c>
      <c r="E62">
        <v>-12244687</v>
      </c>
    </row>
    <row r="63" spans="1:5" x14ac:dyDescent="0.25">
      <c r="A63" t="s">
        <v>1418</v>
      </c>
      <c r="B63">
        <v>560487</v>
      </c>
      <c r="C63">
        <v>-19967667</v>
      </c>
      <c r="D63">
        <v>34152</v>
      </c>
      <c r="E63">
        <v>-12498327</v>
      </c>
    </row>
    <row r="64" spans="1:5" x14ac:dyDescent="0.25">
      <c r="A64" t="s">
        <v>1419</v>
      </c>
      <c r="B64">
        <v>541632</v>
      </c>
      <c r="C64">
        <v>-19967667</v>
      </c>
      <c r="D64">
        <v>33996</v>
      </c>
      <c r="E64">
        <v>-12491126</v>
      </c>
    </row>
    <row r="65" spans="1:5" x14ac:dyDescent="0.25">
      <c r="A65" t="s">
        <v>1420</v>
      </c>
      <c r="B65">
        <v>536065</v>
      </c>
      <c r="C65">
        <v>-19967667</v>
      </c>
      <c r="D65">
        <v>33916</v>
      </c>
      <c r="E65">
        <v>-12532105</v>
      </c>
    </row>
    <row r="66" spans="1:5" x14ac:dyDescent="0.25">
      <c r="A66" t="s">
        <v>1421</v>
      </c>
      <c r="B66">
        <v>485454</v>
      </c>
      <c r="C66">
        <v>-19967667</v>
      </c>
      <c r="D66">
        <v>33911</v>
      </c>
      <c r="E66">
        <v>-12498190</v>
      </c>
    </row>
    <row r="67" spans="1:5" x14ac:dyDescent="0.25">
      <c r="A67" t="s">
        <v>1422</v>
      </c>
      <c r="B67">
        <v>510454</v>
      </c>
      <c r="C67">
        <v>-19967667</v>
      </c>
      <c r="D67">
        <v>33893</v>
      </c>
      <c r="E67">
        <v>-12664318</v>
      </c>
    </row>
    <row r="68" spans="1:5" x14ac:dyDescent="0.25">
      <c r="A68" t="s">
        <v>1423</v>
      </c>
      <c r="B68">
        <v>596711</v>
      </c>
      <c r="C68">
        <v>-19967667</v>
      </c>
      <c r="D68">
        <v>33870</v>
      </c>
      <c r="E68">
        <v>-12967871</v>
      </c>
    </row>
    <row r="69" spans="1:5" x14ac:dyDescent="0.25">
      <c r="A69" t="s">
        <v>1424</v>
      </c>
      <c r="B69">
        <v>496411</v>
      </c>
      <c r="C69">
        <v>-19967667</v>
      </c>
      <c r="D69">
        <v>33847</v>
      </c>
      <c r="E69">
        <v>-12948085</v>
      </c>
    </row>
    <row r="70" spans="1:5" x14ac:dyDescent="0.25">
      <c r="A70" t="s">
        <v>1425</v>
      </c>
      <c r="B70">
        <v>540119</v>
      </c>
      <c r="C70">
        <v>-24542583</v>
      </c>
      <c r="D70">
        <v>42909</v>
      </c>
      <c r="E70">
        <v>-17079704</v>
      </c>
    </row>
    <row r="71" spans="1:5" x14ac:dyDescent="0.25">
      <c r="A71" t="s">
        <v>1426</v>
      </c>
      <c r="B71">
        <v>642017</v>
      </c>
      <c r="C71">
        <v>-24542583</v>
      </c>
      <c r="D71">
        <v>42690</v>
      </c>
      <c r="E71">
        <v>-17152418</v>
      </c>
    </row>
    <row r="72" spans="1:5" x14ac:dyDescent="0.25">
      <c r="A72" t="s">
        <v>1427</v>
      </c>
      <c r="B72">
        <v>521116</v>
      </c>
      <c r="C72">
        <v>-24542583</v>
      </c>
      <c r="D72">
        <v>42666</v>
      </c>
      <c r="E72">
        <v>-17035932</v>
      </c>
    </row>
    <row r="73" spans="1:5" x14ac:dyDescent="0.25">
      <c r="A73" t="s">
        <v>1428</v>
      </c>
      <c r="B73">
        <v>635508</v>
      </c>
      <c r="C73">
        <v>-24542583</v>
      </c>
      <c r="D73">
        <v>42786</v>
      </c>
      <c r="E73">
        <v>-17245701</v>
      </c>
    </row>
    <row r="74" spans="1:5" x14ac:dyDescent="0.25">
      <c r="A74" t="s">
        <v>1429</v>
      </c>
      <c r="B74">
        <v>658196</v>
      </c>
      <c r="C74">
        <v>-24542583</v>
      </c>
      <c r="D74">
        <v>42795</v>
      </c>
      <c r="E74">
        <v>-17206427</v>
      </c>
    </row>
    <row r="75" spans="1:5" x14ac:dyDescent="0.25">
      <c r="A75" t="s">
        <v>1430</v>
      </c>
      <c r="B75">
        <v>659449</v>
      </c>
      <c r="C75">
        <v>-24542583</v>
      </c>
      <c r="D75">
        <v>42680</v>
      </c>
      <c r="E75">
        <v>-17274717</v>
      </c>
    </row>
    <row r="76" spans="1:5" x14ac:dyDescent="0.25">
      <c r="A76" t="s">
        <v>1431</v>
      </c>
      <c r="B76">
        <v>569835</v>
      </c>
      <c r="C76">
        <v>-24542583</v>
      </c>
      <c r="D76">
        <v>42604</v>
      </c>
      <c r="E76">
        <v>-17261933</v>
      </c>
    </row>
    <row r="77" spans="1:5" x14ac:dyDescent="0.25">
      <c r="A77" t="s">
        <v>1432</v>
      </c>
      <c r="B77">
        <v>443595</v>
      </c>
      <c r="C77">
        <v>-24542583</v>
      </c>
      <c r="D77">
        <v>42682</v>
      </c>
      <c r="E77">
        <v>-17149183</v>
      </c>
    </row>
    <row r="78" spans="1:5" x14ac:dyDescent="0.25">
      <c r="A78" t="s">
        <v>1433</v>
      </c>
      <c r="B78">
        <v>438475</v>
      </c>
      <c r="C78">
        <v>-24542583</v>
      </c>
      <c r="D78">
        <v>42792</v>
      </c>
      <c r="E78">
        <v>-16990194</v>
      </c>
    </row>
    <row r="79" spans="1:5" x14ac:dyDescent="0.25">
      <c r="A79" t="s">
        <v>1434</v>
      </c>
      <c r="B79">
        <v>481047</v>
      </c>
      <c r="C79">
        <v>-24542583</v>
      </c>
      <c r="D79">
        <v>42730</v>
      </c>
      <c r="E79">
        <v>-17173689</v>
      </c>
    </row>
    <row r="80" spans="1:5" x14ac:dyDescent="0.25">
      <c r="A80" t="s">
        <v>1435</v>
      </c>
      <c r="B80">
        <v>573698</v>
      </c>
      <c r="C80">
        <v>-24542583</v>
      </c>
      <c r="D80">
        <v>42565</v>
      </c>
      <c r="E80">
        <v>-17424991</v>
      </c>
    </row>
    <row r="81" spans="1:5" x14ac:dyDescent="0.25">
      <c r="A81" t="s">
        <v>1436</v>
      </c>
      <c r="B81">
        <v>541711</v>
      </c>
      <c r="C81">
        <v>-24542583</v>
      </c>
      <c r="D81">
        <v>42645</v>
      </c>
      <c r="E81">
        <v>-17441124</v>
      </c>
    </row>
    <row r="82" spans="1:5" x14ac:dyDescent="0.25">
      <c r="A82" t="s">
        <v>1437</v>
      </c>
      <c r="B82">
        <v>603656</v>
      </c>
      <c r="C82">
        <v>-24542583</v>
      </c>
      <c r="D82">
        <v>42479</v>
      </c>
      <c r="E82">
        <v>-17552942</v>
      </c>
    </row>
    <row r="83" spans="1:5" x14ac:dyDescent="0.25">
      <c r="A83" t="s">
        <v>1438</v>
      </c>
      <c r="B83">
        <v>498336</v>
      </c>
      <c r="C83">
        <v>-24542583</v>
      </c>
      <c r="D83">
        <v>42513</v>
      </c>
      <c r="E83">
        <v>-17505487</v>
      </c>
    </row>
    <row r="84" spans="1:5" x14ac:dyDescent="0.25">
      <c r="A84" t="s">
        <v>1439</v>
      </c>
      <c r="B84">
        <v>506399</v>
      </c>
      <c r="C84">
        <v>-24542583</v>
      </c>
      <c r="D84">
        <v>42430</v>
      </c>
      <c r="E84">
        <v>-17529495</v>
      </c>
    </row>
    <row r="85" spans="1:5" x14ac:dyDescent="0.25">
      <c r="A85" t="s">
        <v>1440</v>
      </c>
      <c r="B85">
        <v>644113</v>
      </c>
      <c r="C85">
        <v>-24542583</v>
      </c>
      <c r="D85">
        <v>42394</v>
      </c>
      <c r="E85">
        <v>-17696243</v>
      </c>
    </row>
    <row r="86" spans="1:5" x14ac:dyDescent="0.25">
      <c r="A86" t="s">
        <v>1441</v>
      </c>
      <c r="B86">
        <v>663149</v>
      </c>
      <c r="C86">
        <v>-24542583</v>
      </c>
      <c r="D86">
        <v>42473</v>
      </c>
      <c r="E86">
        <v>-17580601</v>
      </c>
    </row>
    <row r="87" spans="1:5" x14ac:dyDescent="0.25">
      <c r="A87" t="s">
        <v>1442</v>
      </c>
      <c r="B87">
        <v>698502</v>
      </c>
      <c r="C87">
        <v>-24542583</v>
      </c>
      <c r="D87">
        <v>42444</v>
      </c>
      <c r="E87">
        <v>-17617068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7"/>
  <sheetViews>
    <sheetView workbookViewId="0"/>
  </sheetViews>
  <sheetFormatPr defaultRowHeight="15" x14ac:dyDescent="0.25"/>
  <sheetData>
    <row r="1" spans="1:5" x14ac:dyDescent="0.25">
      <c r="A1" s="1" t="s">
        <v>1353</v>
      </c>
      <c r="B1" s="1" t="s">
        <v>1354</v>
      </c>
      <c r="C1" s="1" t="s">
        <v>1355</v>
      </c>
      <c r="D1" s="1" t="s">
        <v>81</v>
      </c>
      <c r="E1" s="1" t="s">
        <v>22</v>
      </c>
    </row>
    <row r="2" spans="1:5" x14ac:dyDescent="0.25">
      <c r="A2" t="s">
        <v>1357</v>
      </c>
      <c r="B2">
        <v>-17398</v>
      </c>
      <c r="C2">
        <v>-6518876</v>
      </c>
      <c r="D2">
        <v>47190</v>
      </c>
      <c r="E2">
        <v>-660892</v>
      </c>
    </row>
    <row r="3" spans="1:5" x14ac:dyDescent="0.25">
      <c r="A3" t="s">
        <v>1358</v>
      </c>
      <c r="B3">
        <v>26305</v>
      </c>
      <c r="C3">
        <v>-6518876</v>
      </c>
      <c r="D3">
        <v>46837</v>
      </c>
      <c r="E3">
        <v>-677801</v>
      </c>
    </row>
    <row r="4" spans="1:5" x14ac:dyDescent="0.25">
      <c r="A4" t="s">
        <v>1359</v>
      </c>
      <c r="B4">
        <v>-92510</v>
      </c>
      <c r="C4">
        <v>-6518876</v>
      </c>
      <c r="D4">
        <v>46927</v>
      </c>
      <c r="E4">
        <v>-395888</v>
      </c>
    </row>
    <row r="5" spans="1:5" x14ac:dyDescent="0.25">
      <c r="A5" t="s">
        <v>1360</v>
      </c>
      <c r="B5">
        <v>29164</v>
      </c>
      <c r="C5">
        <v>-6518876</v>
      </c>
      <c r="D5">
        <v>46675</v>
      </c>
      <c r="E5">
        <v>-675860</v>
      </c>
    </row>
    <row r="6" spans="1:5" x14ac:dyDescent="0.25">
      <c r="A6" t="s">
        <v>1361</v>
      </c>
      <c r="B6">
        <v>-16279</v>
      </c>
      <c r="C6">
        <v>-6518876</v>
      </c>
      <c r="D6">
        <v>46849</v>
      </c>
      <c r="E6">
        <v>-402876</v>
      </c>
    </row>
    <row r="7" spans="1:5" x14ac:dyDescent="0.25">
      <c r="A7" t="s">
        <v>1362</v>
      </c>
      <c r="B7">
        <v>-47081</v>
      </c>
      <c r="C7">
        <v>-6518876</v>
      </c>
      <c r="D7">
        <v>46875</v>
      </c>
      <c r="E7">
        <v>-359692</v>
      </c>
    </row>
    <row r="8" spans="1:5" x14ac:dyDescent="0.25">
      <c r="A8" t="s">
        <v>1363</v>
      </c>
      <c r="B8">
        <v>12793</v>
      </c>
      <c r="C8">
        <v>-6518876</v>
      </c>
      <c r="D8">
        <v>46971</v>
      </c>
      <c r="E8">
        <v>-403449</v>
      </c>
    </row>
    <row r="9" spans="1:5" x14ac:dyDescent="0.25">
      <c r="A9" t="s">
        <v>1364</v>
      </c>
      <c r="B9">
        <v>41386</v>
      </c>
      <c r="C9">
        <v>-6518876</v>
      </c>
      <c r="D9">
        <v>46789</v>
      </c>
      <c r="E9">
        <v>-415971</v>
      </c>
    </row>
    <row r="10" spans="1:5" x14ac:dyDescent="0.25">
      <c r="A10" t="s">
        <v>1365</v>
      </c>
      <c r="B10">
        <v>116644</v>
      </c>
      <c r="C10">
        <v>-6518876</v>
      </c>
      <c r="D10">
        <v>46641</v>
      </c>
      <c r="E10">
        <v>-519249</v>
      </c>
    </row>
    <row r="11" spans="1:5" x14ac:dyDescent="0.25">
      <c r="A11" t="s">
        <v>1366</v>
      </c>
      <c r="B11">
        <v>186748</v>
      </c>
      <c r="C11">
        <v>-6518876</v>
      </c>
      <c r="D11">
        <v>46335</v>
      </c>
      <c r="E11">
        <v>-957605</v>
      </c>
    </row>
    <row r="12" spans="1:5" x14ac:dyDescent="0.25">
      <c r="A12" t="s">
        <v>1367</v>
      </c>
      <c r="B12">
        <v>138480</v>
      </c>
      <c r="C12">
        <v>-6518876</v>
      </c>
      <c r="D12">
        <v>46290</v>
      </c>
      <c r="E12">
        <v>-876580</v>
      </c>
    </row>
    <row r="13" spans="1:5" x14ac:dyDescent="0.25">
      <c r="A13" t="s">
        <v>1368</v>
      </c>
      <c r="B13">
        <v>220418</v>
      </c>
      <c r="C13">
        <v>-6518876</v>
      </c>
      <c r="D13">
        <v>45987</v>
      </c>
      <c r="E13">
        <v>-1051779</v>
      </c>
    </row>
    <row r="14" spans="1:5" x14ac:dyDescent="0.25">
      <c r="A14" t="s">
        <v>1369</v>
      </c>
      <c r="B14">
        <v>156679</v>
      </c>
      <c r="C14">
        <v>-6518876</v>
      </c>
      <c r="D14">
        <v>45923</v>
      </c>
      <c r="E14">
        <v>-1065271</v>
      </c>
    </row>
    <row r="15" spans="1:5" x14ac:dyDescent="0.25">
      <c r="A15" t="s">
        <v>1370</v>
      </c>
      <c r="B15">
        <v>289302</v>
      </c>
      <c r="C15">
        <v>-6518876</v>
      </c>
      <c r="D15">
        <v>45764</v>
      </c>
      <c r="E15">
        <v>-1319526</v>
      </c>
    </row>
    <row r="16" spans="1:5" x14ac:dyDescent="0.25">
      <c r="A16" t="s">
        <v>1371</v>
      </c>
      <c r="B16">
        <v>369827</v>
      </c>
      <c r="C16">
        <v>-6518876</v>
      </c>
      <c r="D16">
        <v>45664</v>
      </c>
      <c r="E16">
        <v>-1468023</v>
      </c>
    </row>
    <row r="17" spans="1:5" x14ac:dyDescent="0.25">
      <c r="A17" t="s">
        <v>1372</v>
      </c>
      <c r="B17">
        <v>378404</v>
      </c>
      <c r="C17">
        <v>-6518876</v>
      </c>
      <c r="D17">
        <v>45611</v>
      </c>
      <c r="E17">
        <v>-1484370</v>
      </c>
    </row>
    <row r="18" spans="1:5" x14ac:dyDescent="0.25">
      <c r="A18" t="s">
        <v>1373</v>
      </c>
      <c r="B18">
        <v>435975</v>
      </c>
      <c r="C18">
        <v>-6518876</v>
      </c>
      <c r="D18">
        <v>45624</v>
      </c>
      <c r="E18">
        <v>-1662095</v>
      </c>
    </row>
    <row r="19" spans="1:5" x14ac:dyDescent="0.25">
      <c r="A19" t="s">
        <v>1374</v>
      </c>
      <c r="B19">
        <v>510576</v>
      </c>
      <c r="C19">
        <v>-6518876</v>
      </c>
      <c r="D19">
        <v>45513</v>
      </c>
      <c r="E19">
        <v>-1681445</v>
      </c>
    </row>
    <row r="20" spans="1:5" x14ac:dyDescent="0.25">
      <c r="A20" t="s">
        <v>1375</v>
      </c>
      <c r="B20">
        <v>395185</v>
      </c>
      <c r="C20">
        <v>-6518876</v>
      </c>
      <c r="D20">
        <v>45537</v>
      </c>
      <c r="E20">
        <v>-1511230</v>
      </c>
    </row>
    <row r="21" spans="1:5" x14ac:dyDescent="0.25">
      <c r="A21" t="s">
        <v>1376</v>
      </c>
      <c r="B21">
        <v>349761</v>
      </c>
      <c r="C21">
        <v>-6518876</v>
      </c>
      <c r="D21">
        <v>45643</v>
      </c>
      <c r="E21">
        <v>-1403690</v>
      </c>
    </row>
    <row r="22" spans="1:5" x14ac:dyDescent="0.25">
      <c r="A22" t="s">
        <v>1377</v>
      </c>
      <c r="B22">
        <v>404731</v>
      </c>
      <c r="C22">
        <v>-6518876</v>
      </c>
      <c r="D22">
        <v>45542</v>
      </c>
      <c r="E22">
        <v>-1573938</v>
      </c>
    </row>
    <row r="23" spans="1:5" x14ac:dyDescent="0.25">
      <c r="A23" t="s">
        <v>1378</v>
      </c>
      <c r="B23">
        <v>408241</v>
      </c>
      <c r="C23">
        <v>-6518876</v>
      </c>
      <c r="D23">
        <v>45617</v>
      </c>
      <c r="E23">
        <v>-1602091</v>
      </c>
    </row>
    <row r="24" spans="1:5" x14ac:dyDescent="0.25">
      <c r="A24" t="s">
        <v>1379</v>
      </c>
      <c r="B24">
        <v>388504</v>
      </c>
      <c r="C24">
        <v>-6518876</v>
      </c>
      <c r="D24">
        <v>45544</v>
      </c>
      <c r="E24">
        <v>-1508341</v>
      </c>
    </row>
    <row r="25" spans="1:5" x14ac:dyDescent="0.25">
      <c r="A25" t="s">
        <v>1380</v>
      </c>
      <c r="B25">
        <v>357170</v>
      </c>
      <c r="C25">
        <v>-6518876</v>
      </c>
      <c r="D25">
        <v>45477</v>
      </c>
      <c r="E25">
        <v>-1458973</v>
      </c>
    </row>
    <row r="26" spans="1:5" x14ac:dyDescent="0.25">
      <c r="A26" t="s">
        <v>1381</v>
      </c>
      <c r="B26">
        <v>311702</v>
      </c>
      <c r="C26">
        <v>-6518876</v>
      </c>
      <c r="D26">
        <v>45645</v>
      </c>
      <c r="E26">
        <v>-1320049</v>
      </c>
    </row>
    <row r="27" spans="1:5" x14ac:dyDescent="0.25">
      <c r="A27" t="s">
        <v>1382</v>
      </c>
      <c r="B27">
        <v>389036</v>
      </c>
      <c r="C27">
        <v>-6518876</v>
      </c>
      <c r="D27">
        <v>45678</v>
      </c>
      <c r="E27">
        <v>-1321376</v>
      </c>
    </row>
    <row r="28" spans="1:5" x14ac:dyDescent="0.25">
      <c r="A28" t="s">
        <v>1383</v>
      </c>
      <c r="B28">
        <v>342393</v>
      </c>
      <c r="C28">
        <v>-6518876</v>
      </c>
      <c r="D28">
        <v>45674</v>
      </c>
      <c r="E28">
        <v>-1460907</v>
      </c>
    </row>
    <row r="29" spans="1:5" x14ac:dyDescent="0.25">
      <c r="A29" t="s">
        <v>1384</v>
      </c>
      <c r="B29">
        <v>353993</v>
      </c>
      <c r="C29">
        <v>-6518876</v>
      </c>
      <c r="D29">
        <v>45457</v>
      </c>
      <c r="E29">
        <v>-1513359</v>
      </c>
    </row>
    <row r="30" spans="1:5" x14ac:dyDescent="0.25">
      <c r="A30" t="s">
        <v>1385</v>
      </c>
      <c r="B30">
        <v>401824</v>
      </c>
      <c r="C30">
        <v>-6518876</v>
      </c>
      <c r="D30">
        <v>45207</v>
      </c>
      <c r="E30">
        <v>-1607835</v>
      </c>
    </row>
    <row r="31" spans="1:5" x14ac:dyDescent="0.25">
      <c r="A31" t="s">
        <v>1386</v>
      </c>
      <c r="B31">
        <v>369732</v>
      </c>
      <c r="C31">
        <v>-6518876</v>
      </c>
      <c r="D31">
        <v>45095</v>
      </c>
      <c r="E31">
        <v>-1561102</v>
      </c>
    </row>
    <row r="32" spans="1:5" x14ac:dyDescent="0.25">
      <c r="A32" t="s">
        <v>1387</v>
      </c>
      <c r="B32">
        <v>381751</v>
      </c>
      <c r="C32">
        <v>-6518876</v>
      </c>
      <c r="D32">
        <v>45031</v>
      </c>
      <c r="E32">
        <v>-1710077</v>
      </c>
    </row>
    <row r="33" spans="1:5" x14ac:dyDescent="0.25">
      <c r="A33" t="s">
        <v>1388</v>
      </c>
      <c r="B33">
        <v>319741</v>
      </c>
      <c r="C33">
        <v>-6518876</v>
      </c>
      <c r="D33">
        <v>44902</v>
      </c>
      <c r="E33">
        <v>-1692381</v>
      </c>
    </row>
    <row r="34" spans="1:5" x14ac:dyDescent="0.25">
      <c r="A34" t="s">
        <v>1389</v>
      </c>
      <c r="B34">
        <v>311375</v>
      </c>
      <c r="C34">
        <v>-6518876</v>
      </c>
      <c r="D34">
        <v>44977</v>
      </c>
      <c r="E34">
        <v>-1711200</v>
      </c>
    </row>
    <row r="35" spans="1:5" x14ac:dyDescent="0.25">
      <c r="A35" t="s">
        <v>1390</v>
      </c>
      <c r="B35">
        <v>260727</v>
      </c>
      <c r="C35">
        <v>-6518876</v>
      </c>
      <c r="D35">
        <v>45161</v>
      </c>
      <c r="E35">
        <v>-1648280</v>
      </c>
    </row>
    <row r="36" spans="1:5" x14ac:dyDescent="0.25">
      <c r="A36" t="s">
        <v>1391</v>
      </c>
      <c r="B36">
        <v>83081</v>
      </c>
      <c r="C36">
        <v>-16362233</v>
      </c>
      <c r="D36">
        <v>63468</v>
      </c>
      <c r="E36">
        <v>-7454148</v>
      </c>
    </row>
    <row r="37" spans="1:5" x14ac:dyDescent="0.25">
      <c r="A37" t="s">
        <v>1392</v>
      </c>
      <c r="B37">
        <v>-49202</v>
      </c>
      <c r="C37">
        <v>-16362233</v>
      </c>
      <c r="D37">
        <v>63586</v>
      </c>
      <c r="E37">
        <v>-7281576</v>
      </c>
    </row>
    <row r="38" spans="1:5" x14ac:dyDescent="0.25">
      <c r="A38" t="s">
        <v>1393</v>
      </c>
      <c r="B38">
        <v>30060</v>
      </c>
      <c r="C38">
        <v>-16362233</v>
      </c>
      <c r="D38">
        <v>63674</v>
      </c>
      <c r="E38">
        <v>-7278755</v>
      </c>
    </row>
    <row r="39" spans="1:5" x14ac:dyDescent="0.25">
      <c r="A39" t="s">
        <v>1394</v>
      </c>
      <c r="B39">
        <v>-125581</v>
      </c>
      <c r="C39">
        <v>-16362233</v>
      </c>
      <c r="D39">
        <v>63212</v>
      </c>
      <c r="E39">
        <v>-6643081</v>
      </c>
    </row>
    <row r="40" spans="1:5" x14ac:dyDescent="0.25">
      <c r="A40" t="s">
        <v>1395</v>
      </c>
      <c r="B40">
        <v>89845</v>
      </c>
      <c r="C40">
        <v>-16362233</v>
      </c>
      <c r="D40">
        <v>63149</v>
      </c>
      <c r="E40">
        <v>-7055469</v>
      </c>
    </row>
    <row r="41" spans="1:5" x14ac:dyDescent="0.25">
      <c r="A41" t="s">
        <v>1396</v>
      </c>
      <c r="B41">
        <v>56695</v>
      </c>
      <c r="C41">
        <v>-16362233</v>
      </c>
      <c r="D41">
        <v>62991</v>
      </c>
      <c r="E41">
        <v>-7144893</v>
      </c>
    </row>
    <row r="42" spans="1:5" x14ac:dyDescent="0.25">
      <c r="A42" t="s">
        <v>1397</v>
      </c>
      <c r="B42">
        <v>-19692</v>
      </c>
      <c r="C42">
        <v>-16362233</v>
      </c>
      <c r="D42">
        <v>62720</v>
      </c>
      <c r="E42">
        <v>-7171067</v>
      </c>
    </row>
    <row r="43" spans="1:5" x14ac:dyDescent="0.25">
      <c r="A43" t="s">
        <v>1398</v>
      </c>
      <c r="B43">
        <v>-104358</v>
      </c>
      <c r="C43">
        <v>-16362233</v>
      </c>
      <c r="D43">
        <v>62691</v>
      </c>
      <c r="E43">
        <v>-7184827</v>
      </c>
    </row>
    <row r="44" spans="1:5" x14ac:dyDescent="0.25">
      <c r="A44" t="s">
        <v>1399</v>
      </c>
      <c r="B44">
        <v>-11959</v>
      </c>
      <c r="C44">
        <v>-16362233</v>
      </c>
      <c r="D44">
        <v>62521</v>
      </c>
      <c r="E44">
        <v>-7471544</v>
      </c>
    </row>
    <row r="45" spans="1:5" x14ac:dyDescent="0.25">
      <c r="A45" t="s">
        <v>1400</v>
      </c>
      <c r="B45">
        <v>-74893</v>
      </c>
      <c r="C45">
        <v>-16362233</v>
      </c>
      <c r="D45">
        <v>62608</v>
      </c>
      <c r="E45">
        <v>-7395873</v>
      </c>
    </row>
    <row r="46" spans="1:5" x14ac:dyDescent="0.25">
      <c r="A46" t="s">
        <v>1401</v>
      </c>
      <c r="B46">
        <v>17389</v>
      </c>
      <c r="C46">
        <v>-16362233</v>
      </c>
      <c r="D46">
        <v>62336</v>
      </c>
      <c r="E46">
        <v>-7701899</v>
      </c>
    </row>
    <row r="47" spans="1:5" x14ac:dyDescent="0.25">
      <c r="A47" t="s">
        <v>1402</v>
      </c>
      <c r="B47">
        <v>113497</v>
      </c>
      <c r="C47">
        <v>-16362233</v>
      </c>
      <c r="D47">
        <v>62067</v>
      </c>
      <c r="E47">
        <v>-7931568</v>
      </c>
    </row>
    <row r="48" spans="1:5" x14ac:dyDescent="0.25">
      <c r="A48" t="s">
        <v>1403</v>
      </c>
      <c r="B48">
        <v>22346</v>
      </c>
      <c r="C48">
        <v>-16362233</v>
      </c>
      <c r="D48">
        <v>62237</v>
      </c>
      <c r="E48">
        <v>-7780994</v>
      </c>
    </row>
    <row r="49" spans="1:5" x14ac:dyDescent="0.25">
      <c r="A49" t="s">
        <v>1404</v>
      </c>
      <c r="B49">
        <v>17114</v>
      </c>
      <c r="C49">
        <v>-16362233</v>
      </c>
      <c r="D49">
        <v>62008</v>
      </c>
      <c r="E49">
        <v>-7846076</v>
      </c>
    </row>
    <row r="50" spans="1:5" x14ac:dyDescent="0.25">
      <c r="A50" t="s">
        <v>1405</v>
      </c>
      <c r="B50">
        <v>-24637</v>
      </c>
      <c r="C50">
        <v>-22787011</v>
      </c>
      <c r="D50">
        <v>113105</v>
      </c>
      <c r="E50">
        <v>-8781761</v>
      </c>
    </row>
    <row r="51" spans="1:5" x14ac:dyDescent="0.25">
      <c r="A51" t="s">
        <v>1406</v>
      </c>
      <c r="B51">
        <v>-173776</v>
      </c>
      <c r="C51">
        <v>-22787011</v>
      </c>
      <c r="D51">
        <v>113003</v>
      </c>
      <c r="E51">
        <v>-8580186</v>
      </c>
    </row>
    <row r="52" spans="1:5" x14ac:dyDescent="0.25">
      <c r="A52" t="s">
        <v>1407</v>
      </c>
      <c r="B52">
        <v>-132688</v>
      </c>
      <c r="C52">
        <v>-22787011</v>
      </c>
      <c r="D52">
        <v>112947</v>
      </c>
      <c r="E52">
        <v>-8409578</v>
      </c>
    </row>
    <row r="53" spans="1:5" x14ac:dyDescent="0.25">
      <c r="A53" t="s">
        <v>1408</v>
      </c>
      <c r="B53">
        <v>-130613</v>
      </c>
      <c r="C53">
        <v>-22787011</v>
      </c>
      <c r="D53">
        <v>112986</v>
      </c>
      <c r="E53">
        <v>-8213380</v>
      </c>
    </row>
    <row r="54" spans="1:5" x14ac:dyDescent="0.25">
      <c r="A54" t="s">
        <v>1409</v>
      </c>
      <c r="B54">
        <v>305649</v>
      </c>
      <c r="C54">
        <v>-22787011</v>
      </c>
      <c r="D54">
        <v>112640</v>
      </c>
      <c r="E54">
        <v>-9244479</v>
      </c>
    </row>
    <row r="55" spans="1:5" x14ac:dyDescent="0.25">
      <c r="A55" t="s">
        <v>1410</v>
      </c>
      <c r="B55">
        <v>263131</v>
      </c>
      <c r="C55">
        <v>-22787011</v>
      </c>
      <c r="D55">
        <v>112468</v>
      </c>
      <c r="E55">
        <v>-9196620</v>
      </c>
    </row>
    <row r="56" spans="1:5" x14ac:dyDescent="0.25">
      <c r="A56" t="s">
        <v>1411</v>
      </c>
      <c r="B56">
        <v>598598</v>
      </c>
      <c r="C56">
        <v>-22787011</v>
      </c>
      <c r="D56">
        <v>112478</v>
      </c>
      <c r="E56">
        <v>-9207565</v>
      </c>
    </row>
    <row r="57" spans="1:5" x14ac:dyDescent="0.25">
      <c r="A57" t="s">
        <v>1412</v>
      </c>
      <c r="B57">
        <v>760401</v>
      </c>
      <c r="C57">
        <v>-22787011</v>
      </c>
      <c r="D57">
        <v>112558</v>
      </c>
      <c r="E57">
        <v>-8967881</v>
      </c>
    </row>
    <row r="58" spans="1:5" x14ac:dyDescent="0.25">
      <c r="A58" t="s">
        <v>1413</v>
      </c>
      <c r="B58">
        <v>424039</v>
      </c>
      <c r="C58">
        <v>-22787011</v>
      </c>
      <c r="D58">
        <v>112274</v>
      </c>
      <c r="E58">
        <v>-9175125</v>
      </c>
    </row>
    <row r="59" spans="1:5" x14ac:dyDescent="0.25">
      <c r="A59" t="s">
        <v>1414</v>
      </c>
      <c r="B59">
        <v>499536</v>
      </c>
      <c r="C59">
        <v>-22787011</v>
      </c>
      <c r="D59">
        <v>112102</v>
      </c>
      <c r="E59">
        <v>-8987527</v>
      </c>
    </row>
    <row r="60" spans="1:5" x14ac:dyDescent="0.25">
      <c r="A60" t="s">
        <v>1415</v>
      </c>
      <c r="B60">
        <v>184830</v>
      </c>
      <c r="C60">
        <v>-22787011</v>
      </c>
      <c r="D60">
        <v>111955</v>
      </c>
      <c r="E60">
        <v>-8669640</v>
      </c>
    </row>
    <row r="61" spans="1:5" x14ac:dyDescent="0.25">
      <c r="A61" t="s">
        <v>1416</v>
      </c>
      <c r="B61">
        <v>554920</v>
      </c>
      <c r="C61">
        <v>-22787011</v>
      </c>
      <c r="D61">
        <v>111884</v>
      </c>
      <c r="E61">
        <v>-8736668</v>
      </c>
    </row>
    <row r="62" spans="1:5" x14ac:dyDescent="0.25">
      <c r="A62" t="s">
        <v>1417</v>
      </c>
      <c r="B62">
        <v>266951</v>
      </c>
      <c r="C62">
        <v>-22787011</v>
      </c>
      <c r="D62">
        <v>111800</v>
      </c>
      <c r="E62">
        <v>-8805672</v>
      </c>
    </row>
    <row r="63" spans="1:5" x14ac:dyDescent="0.25">
      <c r="A63" t="s">
        <v>1418</v>
      </c>
      <c r="B63">
        <v>470766</v>
      </c>
      <c r="C63">
        <v>-22787011</v>
      </c>
      <c r="D63">
        <v>111795</v>
      </c>
      <c r="E63">
        <v>-9274339</v>
      </c>
    </row>
    <row r="64" spans="1:5" x14ac:dyDescent="0.25">
      <c r="A64" t="s">
        <v>1419</v>
      </c>
      <c r="B64">
        <v>374193</v>
      </c>
      <c r="C64">
        <v>-22787011</v>
      </c>
      <c r="D64">
        <v>111450</v>
      </c>
      <c r="E64">
        <v>-9253195</v>
      </c>
    </row>
    <row r="65" spans="1:5" x14ac:dyDescent="0.25">
      <c r="A65" t="s">
        <v>1420</v>
      </c>
      <c r="B65">
        <v>289717</v>
      </c>
      <c r="C65">
        <v>-22787011</v>
      </c>
      <c r="D65">
        <v>111184</v>
      </c>
      <c r="E65">
        <v>-9319883</v>
      </c>
    </row>
    <row r="66" spans="1:5" x14ac:dyDescent="0.25">
      <c r="A66" t="s">
        <v>1421</v>
      </c>
      <c r="B66">
        <v>208564</v>
      </c>
      <c r="C66">
        <v>-22787011</v>
      </c>
      <c r="D66">
        <v>111138</v>
      </c>
      <c r="E66">
        <v>-9257121</v>
      </c>
    </row>
    <row r="67" spans="1:5" x14ac:dyDescent="0.25">
      <c r="A67" t="s">
        <v>1422</v>
      </c>
      <c r="B67">
        <v>285156</v>
      </c>
      <c r="C67">
        <v>-22787011</v>
      </c>
      <c r="D67">
        <v>111066</v>
      </c>
      <c r="E67">
        <v>-9562947</v>
      </c>
    </row>
    <row r="68" spans="1:5" x14ac:dyDescent="0.25">
      <c r="A68" t="s">
        <v>1423</v>
      </c>
      <c r="B68">
        <v>418890</v>
      </c>
      <c r="C68">
        <v>-22787011</v>
      </c>
      <c r="D68">
        <v>110984</v>
      </c>
      <c r="E68">
        <v>-10119401</v>
      </c>
    </row>
    <row r="69" spans="1:5" x14ac:dyDescent="0.25">
      <c r="A69" t="s">
        <v>1424</v>
      </c>
      <c r="B69">
        <v>298053</v>
      </c>
      <c r="C69">
        <v>-22787011</v>
      </c>
      <c r="D69">
        <v>110904</v>
      </c>
      <c r="E69">
        <v>-10082750</v>
      </c>
    </row>
    <row r="70" spans="1:5" x14ac:dyDescent="0.25">
      <c r="A70" t="s">
        <v>1425</v>
      </c>
      <c r="B70">
        <v>430848</v>
      </c>
      <c r="C70">
        <v>-27361927</v>
      </c>
      <c r="D70">
        <v>119751</v>
      </c>
      <c r="E70">
        <v>-14405021</v>
      </c>
    </row>
    <row r="71" spans="1:5" x14ac:dyDescent="0.25">
      <c r="A71" t="s">
        <v>1426</v>
      </c>
      <c r="B71">
        <v>568548</v>
      </c>
      <c r="C71">
        <v>-27361927</v>
      </c>
      <c r="D71">
        <v>119356</v>
      </c>
      <c r="E71">
        <v>-14505669</v>
      </c>
    </row>
    <row r="72" spans="1:5" x14ac:dyDescent="0.25">
      <c r="A72" t="s">
        <v>1427</v>
      </c>
      <c r="B72">
        <v>368347</v>
      </c>
      <c r="C72">
        <v>-27361927</v>
      </c>
      <c r="D72">
        <v>119277</v>
      </c>
      <c r="E72">
        <v>-14302480</v>
      </c>
    </row>
    <row r="73" spans="1:5" x14ac:dyDescent="0.25">
      <c r="A73" t="s">
        <v>1428</v>
      </c>
      <c r="B73">
        <v>573384</v>
      </c>
      <c r="C73">
        <v>-27361927</v>
      </c>
      <c r="D73">
        <v>119430</v>
      </c>
      <c r="E73">
        <v>-14674192</v>
      </c>
    </row>
    <row r="74" spans="1:5" x14ac:dyDescent="0.25">
      <c r="A74" t="s">
        <v>1429</v>
      </c>
      <c r="B74">
        <v>582644</v>
      </c>
      <c r="C74">
        <v>-27361927</v>
      </c>
      <c r="D74">
        <v>119403</v>
      </c>
      <c r="E74">
        <v>-14596508</v>
      </c>
    </row>
    <row r="75" spans="1:5" x14ac:dyDescent="0.25">
      <c r="A75" t="s">
        <v>1430</v>
      </c>
      <c r="B75">
        <v>618514</v>
      </c>
      <c r="C75">
        <v>-27361927</v>
      </c>
      <c r="D75">
        <v>119095</v>
      </c>
      <c r="E75">
        <v>-14721473</v>
      </c>
    </row>
    <row r="76" spans="1:5" x14ac:dyDescent="0.25">
      <c r="A76" t="s">
        <v>1431</v>
      </c>
      <c r="B76">
        <v>435724</v>
      </c>
      <c r="C76">
        <v>-27361927</v>
      </c>
      <c r="D76">
        <v>118930</v>
      </c>
      <c r="E76">
        <v>-14699666</v>
      </c>
    </row>
    <row r="77" spans="1:5" x14ac:dyDescent="0.25">
      <c r="A77" t="s">
        <v>1432</v>
      </c>
      <c r="B77">
        <v>320390</v>
      </c>
      <c r="C77">
        <v>-27361927</v>
      </c>
      <c r="D77">
        <v>119015</v>
      </c>
      <c r="E77">
        <v>-14500311</v>
      </c>
    </row>
    <row r="78" spans="1:5" x14ac:dyDescent="0.25">
      <c r="A78" t="s">
        <v>1433</v>
      </c>
      <c r="B78">
        <v>278228</v>
      </c>
      <c r="C78">
        <v>-27361927</v>
      </c>
      <c r="D78">
        <v>119151</v>
      </c>
      <c r="E78">
        <v>-14217252</v>
      </c>
    </row>
    <row r="79" spans="1:5" x14ac:dyDescent="0.25">
      <c r="A79" t="s">
        <v>1434</v>
      </c>
      <c r="B79">
        <v>412254</v>
      </c>
      <c r="C79">
        <v>-27361927</v>
      </c>
      <c r="D79">
        <v>119011</v>
      </c>
      <c r="E79">
        <v>-14559968</v>
      </c>
    </row>
    <row r="80" spans="1:5" x14ac:dyDescent="0.25">
      <c r="A80" t="s">
        <v>1435</v>
      </c>
      <c r="B80">
        <v>638442</v>
      </c>
      <c r="C80">
        <v>-27361927</v>
      </c>
      <c r="D80">
        <v>118622</v>
      </c>
      <c r="E80">
        <v>-15035457</v>
      </c>
    </row>
    <row r="81" spans="1:5" x14ac:dyDescent="0.25">
      <c r="A81" t="s">
        <v>1436</v>
      </c>
      <c r="B81">
        <v>536016</v>
      </c>
      <c r="C81">
        <v>-27361927</v>
      </c>
      <c r="D81">
        <v>118620</v>
      </c>
      <c r="E81">
        <v>-15014189</v>
      </c>
    </row>
    <row r="82" spans="1:5" x14ac:dyDescent="0.25">
      <c r="A82" t="s">
        <v>1437</v>
      </c>
      <c r="B82">
        <v>591290</v>
      </c>
      <c r="C82">
        <v>-27361927</v>
      </c>
      <c r="D82">
        <v>118402</v>
      </c>
      <c r="E82">
        <v>-15208119</v>
      </c>
    </row>
    <row r="83" spans="1:5" x14ac:dyDescent="0.25">
      <c r="A83" t="s">
        <v>1438</v>
      </c>
      <c r="B83">
        <v>436950</v>
      </c>
      <c r="C83">
        <v>-27361927</v>
      </c>
      <c r="D83">
        <v>118416</v>
      </c>
      <c r="E83">
        <v>-15128008</v>
      </c>
    </row>
    <row r="84" spans="1:5" x14ac:dyDescent="0.25">
      <c r="A84" t="s">
        <v>1439</v>
      </c>
      <c r="B84">
        <v>426336</v>
      </c>
      <c r="C84">
        <v>-27361927</v>
      </c>
      <c r="D84">
        <v>118240</v>
      </c>
      <c r="E84">
        <v>-15171235</v>
      </c>
    </row>
    <row r="85" spans="1:5" x14ac:dyDescent="0.25">
      <c r="A85" t="s">
        <v>1440</v>
      </c>
      <c r="B85">
        <v>737237</v>
      </c>
      <c r="C85">
        <v>-27361927</v>
      </c>
      <c r="D85">
        <v>118058</v>
      </c>
      <c r="E85">
        <v>-15479641</v>
      </c>
    </row>
    <row r="86" spans="1:5" x14ac:dyDescent="0.25">
      <c r="A86" t="s">
        <v>1441</v>
      </c>
      <c r="B86">
        <v>786910</v>
      </c>
      <c r="C86">
        <v>-27361927</v>
      </c>
      <c r="D86">
        <v>118145</v>
      </c>
      <c r="E86">
        <v>-15270022</v>
      </c>
    </row>
    <row r="87" spans="1:5" x14ac:dyDescent="0.25">
      <c r="A87" t="s">
        <v>1442</v>
      </c>
      <c r="B87">
        <v>846778</v>
      </c>
      <c r="C87">
        <v>-27361927</v>
      </c>
      <c r="D87">
        <v>118057</v>
      </c>
      <c r="E87">
        <v>-15344107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index_tranche_pair_trades</vt:lpstr>
      <vt:lpstr>Sheet1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2025-10-08T13:32:23Z</dcterms:created>
  <dcterms:modified xsi:type="dcterms:W3CDTF">2025-10-14T15:42:38Z</dcterms:modified>
</cp:coreProperties>
</file>