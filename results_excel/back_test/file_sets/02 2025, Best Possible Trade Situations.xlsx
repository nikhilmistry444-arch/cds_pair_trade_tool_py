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ppib-my.sharepoint.com/personal/nmistry_cppib_com/Documents/Documents/CPPIB/python_notebook/cds_pair_trades/results_excel/back_test/file_sets/"/>
    </mc:Choice>
  </mc:AlternateContent>
  <xr:revisionPtr revIDLastSave="317" documentId="11_A979FC0FAA12E20C5229545362779A8C494B4BE2" xr6:coauthVersionLast="47" xr6:coauthVersionMax="47" xr10:uidLastSave="{E375A7E7-2BC6-4E90-A6AF-E32193C1C8F2}"/>
  <bookViews>
    <workbookView xWindow="17880" yWindow="3180" windowWidth="29040" windowHeight="17520" xr2:uid="{00000000-000D-0000-FFFF-FFFF00000000}"/>
  </bookViews>
  <sheets>
    <sheet name="index_tranche_pair_trades" sheetId="1" r:id="rId1"/>
    <sheet name="Sheet1" sheetId="7" r:id="rId2"/>
    <sheet name="Sheet2" sheetId="8" r:id="rId3"/>
    <sheet name="exposure_by_index" sheetId="2" r:id="rId4"/>
    <sheet name="exposure_by_ticker" sheetId="3" r:id="rId5"/>
    <sheet name="daily_pnl_pairs" sheetId="4" r:id="rId6"/>
    <sheet name="daily_pnl_close_pairs" sheetId="5" r:id="rId7"/>
    <sheet name="daily_pnl_hybrid" sheetId="6" r:id="rId8"/>
  </sheets>
  <definedNames>
    <definedName name="_xlnm._FilterDatabase" localSheetId="4" hidden="1">exposure_by_ticker!$A$1:$E$1</definedName>
    <definedName name="_xlnm._FilterDatabase" localSheetId="0" hidden="1">index_tranche_pair_trades!$A$1:$AE$32</definedName>
    <definedName name="_xlnm._FilterDatabase" localSheetId="1" hidden="1">Sheet1!$AF$1:$BM$1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" i="1" l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2" i="1"/>
  <c r="E3" i="8"/>
  <c r="F3" i="8" s="1"/>
  <c r="E4" i="8"/>
  <c r="F4" i="8" s="1"/>
  <c r="E5" i="8"/>
  <c r="F5" i="8"/>
  <c r="E6" i="8"/>
  <c r="F6" i="8" s="1"/>
  <c r="E7" i="8"/>
  <c r="F7" i="8" s="1"/>
  <c r="E8" i="8"/>
  <c r="F8" i="8"/>
  <c r="E9" i="8"/>
  <c r="F9" i="8" s="1"/>
  <c r="E10" i="8"/>
  <c r="F10" i="8" s="1"/>
  <c r="E11" i="8"/>
  <c r="F11" i="8"/>
  <c r="E12" i="8"/>
  <c r="F12" i="8" s="1"/>
  <c r="E13" i="8"/>
  <c r="F13" i="8" s="1"/>
  <c r="E14" i="8"/>
  <c r="F14" i="8"/>
  <c r="E15" i="8"/>
  <c r="F15" i="8" s="1"/>
  <c r="E16" i="8"/>
  <c r="F16" i="8" s="1"/>
  <c r="E17" i="8"/>
  <c r="F17" i="8"/>
  <c r="E18" i="8"/>
  <c r="F18" i="8" s="1"/>
  <c r="E19" i="8"/>
  <c r="F19" i="8" s="1"/>
  <c r="E20" i="8"/>
  <c r="F20" i="8"/>
  <c r="E21" i="8"/>
  <c r="F21" i="8" s="1"/>
  <c r="E22" i="8"/>
  <c r="F22" i="8" s="1"/>
  <c r="E23" i="8"/>
  <c r="F23" i="8"/>
  <c r="E24" i="8"/>
  <c r="F24" i="8" s="1"/>
  <c r="E25" i="8"/>
  <c r="F25" i="8" s="1"/>
  <c r="E26" i="8"/>
  <c r="F26" i="8"/>
  <c r="E27" i="8"/>
  <c r="F27" i="8" s="1"/>
  <c r="E28" i="8"/>
  <c r="F28" i="8" s="1"/>
  <c r="E29" i="8"/>
  <c r="F29" i="8"/>
  <c r="E30" i="8"/>
  <c r="F30" i="8" s="1"/>
  <c r="E31" i="8"/>
  <c r="F31" i="8" s="1"/>
  <c r="E32" i="8"/>
  <c r="F32" i="8"/>
  <c r="E33" i="8"/>
  <c r="F33" i="8" s="1"/>
  <c r="E34" i="8"/>
  <c r="F34" i="8" s="1"/>
  <c r="E35" i="8"/>
  <c r="F35" i="8"/>
  <c r="E36" i="8"/>
  <c r="F36" i="8" s="1"/>
  <c r="E37" i="8"/>
  <c r="F37" i="8" s="1"/>
  <c r="E38" i="8"/>
  <c r="F38" i="8"/>
  <c r="E39" i="8"/>
  <c r="F39" i="8" s="1"/>
  <c r="E40" i="8"/>
  <c r="F40" i="8" s="1"/>
  <c r="E41" i="8"/>
  <c r="F41" i="8"/>
  <c r="E42" i="8"/>
  <c r="F42" i="8" s="1"/>
  <c r="E43" i="8"/>
  <c r="F43" i="8" s="1"/>
  <c r="E44" i="8"/>
  <c r="F44" i="8"/>
  <c r="E45" i="8"/>
  <c r="F45" i="8" s="1"/>
  <c r="E46" i="8"/>
  <c r="F46" i="8" s="1"/>
  <c r="E47" i="8"/>
  <c r="F47" i="8"/>
  <c r="E48" i="8"/>
  <c r="F48" i="8" s="1"/>
  <c r="E49" i="8"/>
  <c r="F49" i="8" s="1"/>
  <c r="E50" i="8"/>
  <c r="F50" i="8"/>
  <c r="E51" i="8"/>
  <c r="F51" i="8" s="1"/>
  <c r="E52" i="8"/>
  <c r="F52" i="8" s="1"/>
  <c r="E53" i="8"/>
  <c r="F53" i="8"/>
  <c r="E54" i="8"/>
  <c r="F54" i="8" s="1"/>
  <c r="E55" i="8"/>
  <c r="F55" i="8" s="1"/>
  <c r="E56" i="8"/>
  <c r="F56" i="8"/>
  <c r="E57" i="8"/>
  <c r="F57" i="8" s="1"/>
  <c r="E58" i="8"/>
  <c r="F58" i="8" s="1"/>
  <c r="E59" i="8"/>
  <c r="F59" i="8"/>
  <c r="E60" i="8"/>
  <c r="F60" i="8" s="1"/>
  <c r="E61" i="8"/>
  <c r="F61" i="8" s="1"/>
  <c r="E62" i="8"/>
  <c r="F62" i="8"/>
  <c r="E63" i="8"/>
  <c r="F63" i="8" s="1"/>
  <c r="E64" i="8"/>
  <c r="F64" i="8" s="1"/>
  <c r="E65" i="8"/>
  <c r="F65" i="8"/>
  <c r="E66" i="8"/>
  <c r="F66" i="8" s="1"/>
  <c r="E67" i="8"/>
  <c r="F67" i="8" s="1"/>
  <c r="E68" i="8"/>
  <c r="F68" i="8"/>
  <c r="E69" i="8"/>
  <c r="F69" i="8" s="1"/>
  <c r="E70" i="8"/>
  <c r="F70" i="8" s="1"/>
  <c r="E71" i="8"/>
  <c r="F71" i="8"/>
  <c r="E72" i="8"/>
  <c r="F72" i="8" s="1"/>
  <c r="E73" i="8"/>
  <c r="F73" i="8" s="1"/>
  <c r="E74" i="8"/>
  <c r="F74" i="8"/>
  <c r="E75" i="8"/>
  <c r="F75" i="8" s="1"/>
  <c r="E76" i="8"/>
  <c r="F76" i="8" s="1"/>
  <c r="E77" i="8"/>
  <c r="F77" i="8"/>
  <c r="E78" i="8"/>
  <c r="F78" i="8" s="1"/>
  <c r="E79" i="8"/>
  <c r="F79" i="8" s="1"/>
  <c r="E80" i="8"/>
  <c r="F80" i="8"/>
  <c r="E81" i="8"/>
  <c r="F81" i="8" s="1"/>
  <c r="E82" i="8"/>
  <c r="F82" i="8" s="1"/>
  <c r="E83" i="8"/>
  <c r="F83" i="8"/>
  <c r="E84" i="8"/>
  <c r="F84" i="8" s="1"/>
  <c r="E85" i="8"/>
  <c r="F85" i="8" s="1"/>
  <c r="E86" i="8"/>
  <c r="F86" i="8"/>
  <c r="E87" i="8"/>
  <c r="F87" i="8" s="1"/>
  <c r="E88" i="8"/>
  <c r="F88" i="8" s="1"/>
  <c r="E89" i="8"/>
  <c r="F89" i="8"/>
  <c r="E90" i="8"/>
  <c r="F90" i="8" s="1"/>
  <c r="E91" i="8"/>
  <c r="F91" i="8" s="1"/>
  <c r="E92" i="8"/>
  <c r="F92" i="8"/>
  <c r="E93" i="8"/>
  <c r="F93" i="8" s="1"/>
  <c r="E94" i="8"/>
  <c r="F94" i="8" s="1"/>
  <c r="E95" i="8"/>
  <c r="F95" i="8" s="1"/>
  <c r="E96" i="8"/>
  <c r="F96" i="8" s="1"/>
  <c r="E97" i="8"/>
  <c r="F97" i="8" s="1"/>
  <c r="E98" i="8"/>
  <c r="F98" i="8"/>
  <c r="E99" i="8"/>
  <c r="F99" i="8" s="1"/>
  <c r="E100" i="8"/>
  <c r="F100" i="8" s="1"/>
  <c r="E101" i="8"/>
  <c r="F101" i="8" s="1"/>
  <c r="E102" i="8"/>
  <c r="F102" i="8" s="1"/>
  <c r="E103" i="8"/>
  <c r="F103" i="8" s="1"/>
  <c r="E104" i="8"/>
  <c r="F104" i="8" s="1"/>
  <c r="E105" i="8"/>
  <c r="F105" i="8" s="1"/>
  <c r="E106" i="8"/>
  <c r="F106" i="8" s="1"/>
  <c r="E107" i="8"/>
  <c r="F107" i="8" s="1"/>
  <c r="E108" i="8"/>
  <c r="F108" i="8" s="1"/>
  <c r="E109" i="8"/>
  <c r="F109" i="8" s="1"/>
  <c r="E110" i="8"/>
  <c r="F110" i="8"/>
  <c r="E111" i="8"/>
  <c r="F111" i="8" s="1"/>
  <c r="E112" i="8"/>
  <c r="F112" i="8" s="1"/>
  <c r="E113" i="8"/>
  <c r="F113" i="8" s="1"/>
  <c r="E114" i="8"/>
  <c r="F114" i="8" s="1"/>
  <c r="E115" i="8"/>
  <c r="F115" i="8" s="1"/>
  <c r="E116" i="8"/>
  <c r="F116" i="8"/>
  <c r="E117" i="8"/>
  <c r="F117" i="8" s="1"/>
  <c r="E118" i="8"/>
  <c r="F118" i="8" s="1"/>
  <c r="E119" i="8"/>
  <c r="F119" i="8" s="1"/>
  <c r="E120" i="8"/>
  <c r="F120" i="8" s="1"/>
  <c r="E121" i="8"/>
  <c r="F121" i="8" s="1"/>
  <c r="E122" i="8"/>
  <c r="F122" i="8"/>
  <c r="E123" i="8"/>
  <c r="F123" i="8" s="1"/>
  <c r="E124" i="8"/>
  <c r="F124" i="8" s="1"/>
  <c r="E125" i="8"/>
  <c r="F125" i="8" s="1"/>
  <c r="E126" i="8"/>
  <c r="F126" i="8" s="1"/>
  <c r="E127" i="8"/>
  <c r="F127" i="8" s="1"/>
  <c r="E128" i="8"/>
  <c r="F128" i="8"/>
  <c r="E129" i="8"/>
  <c r="F129" i="8" s="1"/>
  <c r="E130" i="8"/>
  <c r="F130" i="8" s="1"/>
  <c r="E131" i="8"/>
  <c r="F131" i="8" s="1"/>
  <c r="E132" i="8"/>
  <c r="F132" i="8" s="1"/>
  <c r="E133" i="8"/>
  <c r="F133" i="8" s="1"/>
  <c r="E134" i="8"/>
  <c r="F134" i="8"/>
  <c r="E135" i="8"/>
  <c r="F135" i="8" s="1"/>
  <c r="E136" i="8"/>
  <c r="F136" i="8" s="1"/>
  <c r="E137" i="8"/>
  <c r="F137" i="8" s="1"/>
  <c r="E138" i="8"/>
  <c r="F138" i="8" s="1"/>
  <c r="E139" i="8"/>
  <c r="F139" i="8" s="1"/>
  <c r="E140" i="8"/>
  <c r="F140" i="8"/>
  <c r="E141" i="8"/>
  <c r="F141" i="8" s="1"/>
  <c r="E142" i="8"/>
  <c r="F142" i="8" s="1"/>
  <c r="E143" i="8"/>
  <c r="F143" i="8" s="1"/>
  <c r="E144" i="8"/>
  <c r="F144" i="8" s="1"/>
  <c r="E145" i="8"/>
  <c r="F145" i="8" s="1"/>
  <c r="E146" i="8"/>
  <c r="F146" i="8"/>
  <c r="E147" i="8"/>
  <c r="F147" i="8" s="1"/>
  <c r="E148" i="8"/>
  <c r="F148" i="8" s="1"/>
  <c r="E149" i="8"/>
  <c r="F149" i="8" s="1"/>
  <c r="E150" i="8"/>
  <c r="F150" i="8" s="1"/>
  <c r="E151" i="8"/>
  <c r="F151" i="8" s="1"/>
  <c r="E152" i="8"/>
  <c r="F152" i="8"/>
  <c r="E153" i="8"/>
  <c r="F153" i="8" s="1"/>
  <c r="E154" i="8"/>
  <c r="F154" i="8" s="1"/>
  <c r="E155" i="8"/>
  <c r="F155" i="8" s="1"/>
  <c r="E156" i="8"/>
  <c r="F156" i="8" s="1"/>
  <c r="E157" i="8"/>
  <c r="F157" i="8" s="1"/>
  <c r="E158" i="8"/>
  <c r="F158" i="8"/>
  <c r="E159" i="8"/>
  <c r="F159" i="8" s="1"/>
  <c r="E160" i="8"/>
  <c r="F160" i="8" s="1"/>
  <c r="E161" i="8"/>
  <c r="F161" i="8" s="1"/>
  <c r="E162" i="8"/>
  <c r="F162" i="8" s="1"/>
  <c r="E163" i="8"/>
  <c r="F163" i="8" s="1"/>
  <c r="E164" i="8"/>
  <c r="F164" i="8"/>
  <c r="E165" i="8"/>
  <c r="F165" i="8" s="1"/>
  <c r="E166" i="8"/>
  <c r="F166" i="8" s="1"/>
  <c r="E167" i="8"/>
  <c r="F167" i="8" s="1"/>
  <c r="E168" i="8"/>
  <c r="F168" i="8" s="1"/>
  <c r="E169" i="8"/>
  <c r="F169" i="8" s="1"/>
  <c r="E170" i="8"/>
  <c r="F170" i="8" s="1"/>
  <c r="E171" i="8"/>
  <c r="F171" i="8" s="1"/>
  <c r="E172" i="8"/>
  <c r="F172" i="8" s="1"/>
  <c r="E173" i="8"/>
  <c r="F173" i="8" s="1"/>
  <c r="E174" i="8"/>
  <c r="F174" i="8" s="1"/>
  <c r="E175" i="8"/>
  <c r="F175" i="8" s="1"/>
  <c r="E176" i="8"/>
  <c r="F176" i="8" s="1"/>
  <c r="E177" i="8"/>
  <c r="F177" i="8" s="1"/>
  <c r="E178" i="8"/>
  <c r="F178" i="8" s="1"/>
  <c r="E179" i="8"/>
  <c r="F179" i="8" s="1"/>
  <c r="E180" i="8"/>
  <c r="F180" i="8" s="1"/>
  <c r="E181" i="8"/>
  <c r="F181" i="8" s="1"/>
  <c r="E182" i="8"/>
  <c r="F182" i="8" s="1"/>
  <c r="E183" i="8"/>
  <c r="F183" i="8" s="1"/>
  <c r="E184" i="8"/>
  <c r="F184" i="8" s="1"/>
  <c r="E185" i="8"/>
  <c r="F185" i="8" s="1"/>
  <c r="E186" i="8"/>
  <c r="F186" i="8" s="1"/>
  <c r="E187" i="8"/>
  <c r="F187" i="8" s="1"/>
  <c r="E188" i="8"/>
  <c r="F188" i="8" s="1"/>
  <c r="E189" i="8"/>
  <c r="F189" i="8" s="1"/>
  <c r="E190" i="8"/>
  <c r="F190" i="8" s="1"/>
  <c r="E191" i="8"/>
  <c r="F191" i="8" s="1"/>
  <c r="E192" i="8"/>
  <c r="F192" i="8" s="1"/>
  <c r="E193" i="8"/>
  <c r="F193" i="8" s="1"/>
  <c r="E194" i="8"/>
  <c r="F194" i="8" s="1"/>
  <c r="E195" i="8"/>
  <c r="F195" i="8" s="1"/>
  <c r="E196" i="8"/>
  <c r="F196" i="8" s="1"/>
  <c r="E197" i="8"/>
  <c r="F197" i="8" s="1"/>
  <c r="E198" i="8"/>
  <c r="F198" i="8" s="1"/>
  <c r="E2" i="8"/>
  <c r="F2" i="8" s="1"/>
  <c r="O3" i="2"/>
  <c r="O6" i="2"/>
  <c r="K6" i="2"/>
  <c r="K7" i="2"/>
  <c r="O7" i="2"/>
  <c r="O5" i="2"/>
  <c r="K5" i="2"/>
  <c r="O4" i="2"/>
  <c r="K4" i="2"/>
  <c r="K3" i="2"/>
  <c r="Q6" i="2" l="1"/>
  <c r="Q5" i="2"/>
  <c r="Q7" i="2"/>
  <c r="K9" i="2"/>
  <c r="Q4" i="2"/>
  <c r="Q3" i="2"/>
  <c r="Q9" i="2" l="1"/>
</calcChain>
</file>

<file path=xl/sharedStrings.xml><?xml version="1.0" encoding="utf-8"?>
<sst xmlns="http://schemas.openxmlformats.org/spreadsheetml/2006/main" count="2834" uniqueCount="1789">
  <si>
    <t>Trade Date</t>
  </si>
  <si>
    <t>Index-1</t>
  </si>
  <si>
    <t>Series-1</t>
  </si>
  <si>
    <t>Att-Detach 1</t>
  </si>
  <si>
    <t>Tenor 1</t>
  </si>
  <si>
    <t>Trade 1</t>
  </si>
  <si>
    <t>Index-2</t>
  </si>
  <si>
    <t>Series-2</t>
  </si>
  <si>
    <t>Att-Detach 2</t>
  </si>
  <si>
    <t>Tenor 2</t>
  </si>
  <si>
    <t>Trade 2</t>
  </si>
  <si>
    <t>Type</t>
  </si>
  <si>
    <t>Beta Ratio</t>
  </si>
  <si>
    <t>Net Carry</t>
  </si>
  <si>
    <t>Target_Return</t>
  </si>
  <si>
    <t>Signal</t>
  </si>
  <si>
    <t>Notional 1</t>
  </si>
  <si>
    <t>Notional 2</t>
  </si>
  <si>
    <t>Net Upfront</t>
  </si>
  <si>
    <t>Quote 1</t>
  </si>
  <si>
    <t>Quote 2</t>
  </si>
  <si>
    <t>Ctpy</t>
  </si>
  <si>
    <t>cash usage</t>
  </si>
  <si>
    <t>max_pnl</t>
  </si>
  <si>
    <t>min_pnl</t>
  </si>
  <si>
    <t>current_pnl</t>
  </si>
  <si>
    <t>target_reached</t>
  </si>
  <si>
    <t>matured</t>
  </si>
  <si>
    <t>target_return_pnl</t>
  </si>
  <si>
    <t>pnl_to_maturity</t>
  </si>
  <si>
    <t>pnl_to_maturity_post_defaults</t>
  </si>
  <si>
    <t>ITRAXX MAIN</t>
  </si>
  <si>
    <t>0.03-0.06</t>
  </si>
  <si>
    <t>5Y</t>
  </si>
  <si>
    <t>Sell Protection</t>
  </si>
  <si>
    <t>CDX HY</t>
  </si>
  <si>
    <t>0.35-1.0</t>
  </si>
  <si>
    <t>Buy Protection</t>
  </si>
  <si>
    <t>compression</t>
  </si>
  <si>
    <t>305,205 [273.0d] [100%]</t>
  </si>
  <si>
    <t>27,008 [89.0d] [100%]</t>
  </si>
  <si>
    <t>115,652 [100%] [profitable:100.0%]</t>
  </si>
  <si>
    <t>CLOSE ME!</t>
  </si>
  <si>
    <t>ITRAXX XOVER</t>
  </si>
  <si>
    <t>0.0-1.0</t>
  </si>
  <si>
    <t>1,544,946 [269.0d] [100.0%]</t>
  </si>
  <si>
    <t>-2,088,953 [88.0d] [-200.0%]</t>
  </si>
  <si>
    <t>1,410,977 [100.0%] [profitable:72.0%]</t>
  </si>
  <si>
    <t>Y (4,877,983)</t>
  </si>
  <si>
    <t>0.15-0.25</t>
  </si>
  <si>
    <t>135,817 [262d] [100.0%]</t>
  </si>
  <si>
    <t>-95,184 [88d] [-30.0%]</t>
  </si>
  <si>
    <t>118,289 [100.0%] [profitable:93.0%]</t>
  </si>
  <si>
    <t>Y (129,607)</t>
  </si>
  <si>
    <t>CDX IG</t>
  </si>
  <si>
    <t>0.03-0.07</t>
  </si>
  <si>
    <t>626,549 [30d] [100.0%]</t>
  </si>
  <si>
    <t>-84,482 [2d] [-375.0%]</t>
  </si>
  <si>
    <t>273,153 [100.0%] [profitable:88.0%]</t>
  </si>
  <si>
    <t>1,031,615 [214.0d] [100.0%]</t>
  </si>
  <si>
    <t>-78,408 [29.0d] [-82.0%]</t>
  </si>
  <si>
    <t>321,359 [100.0%] [profitable:97.0%]</t>
  </si>
  <si>
    <t>Y (84,855)</t>
  </si>
  <si>
    <t>0.07-0.15</t>
  </si>
  <si>
    <t>417,819 [214.0d] [100.0%]</t>
  </si>
  <si>
    <t>-163,276 [29.0d] [-350.0%]</t>
  </si>
  <si>
    <t>116,086 [100.0%] [profitable:85.0%]</t>
  </si>
  <si>
    <t>193,446 [199d] [90.0%]</t>
  </si>
  <si>
    <t>-258,232 [18d] [-315.0%]</t>
  </si>
  <si>
    <t>149,871 [56.0%] [profitable:76.0%]</t>
  </si>
  <si>
    <t>Y (363,229)</t>
  </si>
  <si>
    <t>263,171 [199.0d] [100.0%]</t>
  </si>
  <si>
    <t>-318,790 [18.0d] [-3890.0%]</t>
  </si>
  <si>
    <t>222,160 [100.0%] [profitable:78.0%]</t>
  </si>
  <si>
    <t>Y (373,036)</t>
  </si>
  <si>
    <t>ITRAXX FINS SUB</t>
  </si>
  <si>
    <t>177,322 [19d] [205.0%]</t>
  </si>
  <si>
    <t>-211,889 [13d] [-361.0%]</t>
  </si>
  <si>
    <t>72,664 [16.0%] [profitable:65.0%]</t>
  </si>
  <si>
    <t>0.2-0.35</t>
  </si>
  <si>
    <t>0.1-0.2</t>
  </si>
  <si>
    <t>415,614 [178d] [282.0%]</t>
  </si>
  <si>
    <t>-79,477 [1d] [-1459.0%]</t>
  </si>
  <si>
    <t>382,981 [189.0%] [profitable:97.0%]</t>
  </si>
  <si>
    <t>Y (221,083)</t>
  </si>
  <si>
    <t>0.06-0.12</t>
  </si>
  <si>
    <t>155,597 [183d] [100.0%]</t>
  </si>
  <si>
    <t>-87,245 [1d] [-4026.0%]</t>
  </si>
  <si>
    <t>143,855 [100.0%] [profitable:96.0%]</t>
  </si>
  <si>
    <t>Y (261,549)</t>
  </si>
  <si>
    <t>0.12-1.0</t>
  </si>
  <si>
    <t>553,036 [178d] [286.0%]</t>
  </si>
  <si>
    <t>-164,775 [1d] [-4319.0%]</t>
  </si>
  <si>
    <t>502,517 [226.0%] [profitable:97.0%]</t>
  </si>
  <si>
    <t>Y (553,396)</t>
  </si>
  <si>
    <t>2,820,776 [175.0d] [100.0%]</t>
  </si>
  <si>
    <t>-1,075,253 [179.0d] [-77.0%]</t>
  </si>
  <si>
    <t>2,489,848 [100.0%] [profitable:93.0%]</t>
  </si>
  <si>
    <t>Y (6,524,595)</t>
  </si>
  <si>
    <t>557,116 [176d] [100.0%]</t>
  </si>
  <si>
    <t>-123,921 [7d] [-701.0%]</t>
  </si>
  <si>
    <t>509,952 [100.0%] [profitable:93.0%]</t>
  </si>
  <si>
    <t>Y (493,225)</t>
  </si>
  <si>
    <t>2,722,847 [175d] [540.0%]</t>
  </si>
  <si>
    <t>-578,112 [7d] [-553.0%]</t>
  </si>
  <si>
    <t>2,367,116 [329.0%] [profitable:94.0%]</t>
  </si>
  <si>
    <t>Y (6,713,144)</t>
  </si>
  <si>
    <t>71,861 [140d] [100.0%]</t>
  </si>
  <si>
    <t>-41,476 [26d] [-25.0%]</t>
  </si>
  <si>
    <t>63,052 [100.0%] [profitable:75.0%]</t>
  </si>
  <si>
    <t>Y (58,329)</t>
  </si>
  <si>
    <t>139,913 [140d] [2024.0%]</t>
  </si>
  <si>
    <t>-56,911 [0d] [-2779.0%]</t>
  </si>
  <si>
    <t>117,021 [361.0%] [profitable:80.0%]</t>
  </si>
  <si>
    <t>Y (246,435)</t>
  </si>
  <si>
    <t>120,622 [43d] [100.0%]</t>
  </si>
  <si>
    <t>-40,026 [89d] [-278.0%]</t>
  </si>
  <si>
    <t>39,763 [100.0%] [profitable:75.0%]</t>
  </si>
  <si>
    <t>218,167 [117d] [100.0%]</t>
  </si>
  <si>
    <t>-100,489 [1d] [-1101.0%]</t>
  </si>
  <si>
    <t>210,281 [100.0%] [profitable:77.0%]</t>
  </si>
  <si>
    <t>Y (1,392,608)</t>
  </si>
  <si>
    <t>124,785 [112d] [100%]</t>
  </si>
  <si>
    <t>26,083 [1d] [100%]</t>
  </si>
  <si>
    <t>114,563 [100%] [profitable:100.0%]</t>
  </si>
  <si>
    <t>Y (541,785)</t>
  </si>
  <si>
    <t>54,959 [15d] [168.0%]</t>
  </si>
  <si>
    <t>-134,584 [63d] [-94.0%]</t>
  </si>
  <si>
    <t>27,513 [14.0%] [profitable:17.0%]</t>
  </si>
  <si>
    <t>242,226 [32d] [213.0%]</t>
  </si>
  <si>
    <t>-239,723 [18d] [-363.0%]</t>
  </si>
  <si>
    <t>143,205 [78.0%] [profitable:38.0%]</t>
  </si>
  <si>
    <t>138,961 [59d] [100%]</t>
  </si>
  <si>
    <t>41,142 [0d] [100%]</t>
  </si>
  <si>
    <t>112,473 [100%] [profitable:100.0%]</t>
  </si>
  <si>
    <t>Y (247,462)</t>
  </si>
  <si>
    <t>127,779 [69d] [100%]</t>
  </si>
  <si>
    <t>53,846 [0d] [100%]</t>
  </si>
  <si>
    <t>117,172 [100%] [profitable:100.0%]</t>
  </si>
  <si>
    <t>Y (556,540)</t>
  </si>
  <si>
    <t>134,953 [1d] [1753.0%]</t>
  </si>
  <si>
    <t>-201,144 [32d] [-110.0%]</t>
  </si>
  <si>
    <t>-14,724 [-5.0%] [profitable:12.0%]</t>
  </si>
  <si>
    <t>128,919 [43d] [89.0%]</t>
  </si>
  <si>
    <t>-219,299 [31d] [-236.0%]</t>
  </si>
  <si>
    <t>128,919 [89.0%] [profitable:16.0%]</t>
  </si>
  <si>
    <t>123,916 [28d] [99.0%]</t>
  </si>
  <si>
    <t>-32,341 [0d] [-595.0%]</t>
  </si>
  <si>
    <t>118,391 [58.0%] [profitable:97.0%]</t>
  </si>
  <si>
    <t>Y (716,961)</t>
  </si>
  <si>
    <t>-10,873 [19d] [-6.0%]</t>
  </si>
  <si>
    <t>-42,048 [0d] [-415.0%]</t>
  </si>
  <si>
    <t>-15,301 [-10.0%] [profitable:0.0%]</t>
  </si>
  <si>
    <t>-48,197 [0d] [-845.0%]</t>
  </si>
  <si>
    <t>-48,197 [-845.0%] [profitable:0.0%]</t>
  </si>
  <si>
    <t>-48,266 [0d] [-841.0%]</t>
  </si>
  <si>
    <t>-48,266 [-841.0%] [profitable:0.0%]</t>
  </si>
  <si>
    <t>-26,317 [0d] [-568.0%]</t>
  </si>
  <si>
    <t>-26,317 [-568.0%] [profitable:0.0%]</t>
  </si>
  <si>
    <t>index</t>
  </si>
  <si>
    <t>0-2</t>
  </si>
  <si>
    <t>2-4</t>
  </si>
  <si>
    <t>4-6</t>
  </si>
  <si>
    <t>6-9</t>
  </si>
  <si>
    <t>9-11</t>
  </si>
  <si>
    <t>upfront</t>
  </si>
  <si>
    <t>bbg_cds_ticker</t>
  </si>
  <si>
    <t>cr01</t>
  </si>
  <si>
    <t>notional</t>
  </si>
  <si>
    <t>ticker</t>
  </si>
  <si>
    <t>issuer</t>
  </si>
  <si>
    <t>CAA1U5</t>
  </si>
  <si>
    <t>HWM</t>
  </si>
  <si>
    <t>HOWMET AEROSPACE INC</t>
  </si>
  <si>
    <t>CAALL1E5</t>
  </si>
  <si>
    <t>AALLN</t>
  </si>
  <si>
    <t>Anglo American Capital PLC</t>
  </si>
  <si>
    <t>CABX1U5</t>
  </si>
  <si>
    <t>ABXCN</t>
  </si>
  <si>
    <t>Barrick Gold Corp</t>
  </si>
  <si>
    <t>CACC1E5</t>
  </si>
  <si>
    <t>ACFP</t>
  </si>
  <si>
    <t>Accor SA</t>
  </si>
  <si>
    <t>CAEP1U5</t>
  </si>
  <si>
    <t>AEP</t>
  </si>
  <si>
    <t>American Electric Power Co Inc</t>
  </si>
  <si>
    <t>CAER1E5</t>
  </si>
  <si>
    <t>AIRFP</t>
  </si>
  <si>
    <t>Airbus SE</t>
  </si>
  <si>
    <t>CAES1U5</t>
  </si>
  <si>
    <t>AES</t>
  </si>
  <si>
    <t>The AES Corporation</t>
  </si>
  <si>
    <t>CAHC1U5</t>
  </si>
  <si>
    <t>HES</t>
  </si>
  <si>
    <t>Hess Corp</t>
  </si>
  <si>
    <t>CAHLD1E5</t>
  </si>
  <si>
    <t>ADNA</t>
  </si>
  <si>
    <t>Koninklijke Ahold Delhaize NV</t>
  </si>
  <si>
    <t>CAIF1E5</t>
  </si>
  <si>
    <t>AIFP</t>
  </si>
  <si>
    <t>Air Liquide SA</t>
  </si>
  <si>
    <t>CAIG1U5</t>
  </si>
  <si>
    <t>AIG</t>
  </si>
  <si>
    <t>American International Group Inc</t>
  </si>
  <si>
    <t>CAKZO1E5</t>
  </si>
  <si>
    <t>AKZANA</t>
  </si>
  <si>
    <t>Akzo Nobel NV</t>
  </si>
  <si>
    <t>CALL1U5</t>
  </si>
  <si>
    <t>ALL</t>
  </si>
  <si>
    <t>Allstate Corp/The</t>
  </si>
  <si>
    <t>CALS1E5</t>
  </si>
  <si>
    <t>ALOFP</t>
  </si>
  <si>
    <t>Alstom SA</t>
  </si>
  <si>
    <t>CALZ1E5</t>
  </si>
  <si>
    <t>ALVGR</t>
  </si>
  <si>
    <t>Allianz SE</t>
  </si>
  <si>
    <t>CAMG1U5</t>
  </si>
  <si>
    <t>AMGN</t>
  </si>
  <si>
    <t>Amgen Inc</t>
  </si>
  <si>
    <t>CAMR1U5</t>
  </si>
  <si>
    <t>AAL</t>
  </si>
  <si>
    <t>American Airlines Group Inc</t>
  </si>
  <si>
    <t>CAPA1U5</t>
  </si>
  <si>
    <t>APA</t>
  </si>
  <si>
    <t>Apache Corp</t>
  </si>
  <si>
    <t>CARW1U5</t>
  </si>
  <si>
    <t>ARW</t>
  </si>
  <si>
    <t>Arrow Electronics Inc</t>
  </si>
  <si>
    <t>CASH1U5</t>
  </si>
  <si>
    <t>ASH</t>
  </si>
  <si>
    <t>Ashland Global Holdings Inc</t>
  </si>
  <si>
    <t>CASS1E5</t>
  </si>
  <si>
    <t>ASSGEN</t>
  </si>
  <si>
    <t>Assicurazioni Generali SpA</t>
  </si>
  <si>
    <t>CATS1E5</t>
  </si>
  <si>
    <t>EDIZIM</t>
  </si>
  <si>
    <t>Edizione SpA</t>
  </si>
  <si>
    <t>CAUCH1E5</t>
  </si>
  <si>
    <t>AUCHAN</t>
  </si>
  <si>
    <t>Aumarche</t>
  </si>
  <si>
    <t>CAVE1E5</t>
  </si>
  <si>
    <t>SANFP</t>
  </si>
  <si>
    <t>Sanofi</t>
  </si>
  <si>
    <t>CAVL1E5</t>
  </si>
  <si>
    <t>AVLN</t>
  </si>
  <si>
    <t>Aviva PLC</t>
  </si>
  <si>
    <t>CAVT1U5</t>
  </si>
  <si>
    <t>AVT</t>
  </si>
  <si>
    <t>Avnet Inc</t>
  </si>
  <si>
    <t>CAXA1E5</t>
  </si>
  <si>
    <t>AXASA</t>
  </si>
  <si>
    <t>AXA SA</t>
  </si>
  <si>
    <t>CAXP1U5</t>
  </si>
  <si>
    <t>AXP</t>
  </si>
  <si>
    <t>American Express Co</t>
  </si>
  <si>
    <t>CAZN1E5</t>
  </si>
  <si>
    <t>AZN</t>
  </si>
  <si>
    <t>AstraZeneca PLC</t>
  </si>
  <si>
    <t>CAZO1U5</t>
  </si>
  <si>
    <t>AZO</t>
  </si>
  <si>
    <t>AutoZone Inc</t>
  </si>
  <si>
    <t>CBA1U5</t>
  </si>
  <si>
    <t>BA</t>
  </si>
  <si>
    <t>Boeing Co/The</t>
  </si>
  <si>
    <t>CBAE1E5</t>
  </si>
  <si>
    <t>BALN</t>
  </si>
  <si>
    <t>BAE Systems PLC</t>
  </si>
  <si>
    <t>CBASF1E5</t>
  </si>
  <si>
    <t>BASGR</t>
  </si>
  <si>
    <t>BASF SE</t>
  </si>
  <si>
    <t>CBAT1E5</t>
  </si>
  <si>
    <t>BATSLN</t>
  </si>
  <si>
    <t>British American Tobacco PLC</t>
  </si>
  <si>
    <t>CBAX1U5</t>
  </si>
  <si>
    <t>BAX</t>
  </si>
  <si>
    <t>Baxter International Inc</t>
  </si>
  <si>
    <t>CBAYR1E5</t>
  </si>
  <si>
    <t>BAYNGR</t>
  </si>
  <si>
    <t>Bayer AG</t>
  </si>
  <si>
    <t>CBBV1E5</t>
  </si>
  <si>
    <t>BBVASM</t>
  </si>
  <si>
    <t>Banco Bilbao Vizcaya Argentaria SA</t>
  </si>
  <si>
    <t>CBBY1U5</t>
  </si>
  <si>
    <t>BBY</t>
  </si>
  <si>
    <t>Best Buy Co Inc</t>
  </si>
  <si>
    <t>CBCI1E5</t>
  </si>
  <si>
    <t>ISPIM</t>
  </si>
  <si>
    <t>Intesa Sanpaolo SpA</t>
  </si>
  <si>
    <t>CBCR1E5</t>
  </si>
  <si>
    <t>BACRED</t>
  </si>
  <si>
    <t>Mediobanca SpA</t>
  </si>
  <si>
    <t>CBIRK1E5</t>
  </si>
  <si>
    <t>FINL</t>
  </si>
  <si>
    <t>Republic of Finland</t>
  </si>
  <si>
    <t>CBMW1E5</t>
  </si>
  <si>
    <t>BMW</t>
  </si>
  <si>
    <t>Bayerische Motoren Werke AG</t>
  </si>
  <si>
    <t>CBMY1U5</t>
  </si>
  <si>
    <t>BMY</t>
  </si>
  <si>
    <t>Bristol-Myers Squibb Co</t>
  </si>
  <si>
    <t>CBNP1E5</t>
  </si>
  <si>
    <t>BNP</t>
  </si>
  <si>
    <t>BNP Paribas S.A</t>
  </si>
  <si>
    <t>CBOMB1U5</t>
  </si>
  <si>
    <t>BBDBCN</t>
  </si>
  <si>
    <t>Bombardier Inc</t>
  </si>
  <si>
    <t>CBOUY1E5</t>
  </si>
  <si>
    <t>ENFP</t>
  </si>
  <si>
    <t>Bouygues SA</t>
  </si>
  <si>
    <t>CBPLN1E5</t>
  </si>
  <si>
    <t>BPLN</t>
  </si>
  <si>
    <t>BP PLC</t>
  </si>
  <si>
    <t>CBSH1E5</t>
  </si>
  <si>
    <t>SANTAN</t>
  </si>
  <si>
    <t>Banco Santander SA</t>
  </si>
  <si>
    <t>CBSN1E5</t>
  </si>
  <si>
    <t>BNFP</t>
  </si>
  <si>
    <t>Danone SA</t>
  </si>
  <si>
    <t>CBSX1U5</t>
  </si>
  <si>
    <t>BSX</t>
  </si>
  <si>
    <t>Boston Scientific Corp</t>
  </si>
  <si>
    <t>CBT1E5</t>
  </si>
  <si>
    <t>BRITEL</t>
  </si>
  <si>
    <t>BT Group PLC</t>
  </si>
  <si>
    <t>CBTG1E5</t>
  </si>
  <si>
    <t>BERTEL</t>
  </si>
  <si>
    <t>Bertelsmann SE &amp; Co KGaA</t>
  </si>
  <si>
    <t>CBWA1U5</t>
  </si>
  <si>
    <t>BWA</t>
  </si>
  <si>
    <t>BorgWarner Inc</t>
  </si>
  <si>
    <t>CBZH1U5</t>
  </si>
  <si>
    <t>BZH</t>
  </si>
  <si>
    <t>Beazer Homes USA Inc</t>
  </si>
  <si>
    <t>CCAG1U5</t>
  </si>
  <si>
    <t>CAG</t>
  </si>
  <si>
    <t>Conagra Brands Inc</t>
  </si>
  <si>
    <t>CCAH1U5</t>
  </si>
  <si>
    <t>CAH</t>
  </si>
  <si>
    <t>Cardinal Health Inc</t>
  </si>
  <si>
    <t>CCAI1E5</t>
  </si>
  <si>
    <t>ACAFP</t>
  </si>
  <si>
    <t>Credit Agricole Groupe</t>
  </si>
  <si>
    <t>CCARR1E5</t>
  </si>
  <si>
    <t>CAFP</t>
  </si>
  <si>
    <t>Carrefour SA</t>
  </si>
  <si>
    <t>CCAT1U5</t>
  </si>
  <si>
    <t>CAT</t>
  </si>
  <si>
    <t>Caterpillar Inc</t>
  </si>
  <si>
    <t>CCCL1U5</t>
  </si>
  <si>
    <t>CCL</t>
  </si>
  <si>
    <t>Carnival Corp</t>
  </si>
  <si>
    <t>CCCS1U5</t>
  </si>
  <si>
    <t>DXC</t>
  </si>
  <si>
    <t>DXC Technology Co</t>
  </si>
  <si>
    <t>CCCU1U5</t>
  </si>
  <si>
    <t>CCO</t>
  </si>
  <si>
    <t>iHeartCommunications Inc</t>
  </si>
  <si>
    <t>CCD1U5</t>
  </si>
  <si>
    <t>CAR</t>
  </si>
  <si>
    <t>Avis Budget Group Inc</t>
  </si>
  <si>
    <t>CCHK1U5</t>
  </si>
  <si>
    <t>CHK</t>
  </si>
  <si>
    <t>Chesapeake Energy Corp</t>
  </si>
  <si>
    <t>CCLA1E5</t>
  </si>
  <si>
    <t>CLNVX</t>
  </si>
  <si>
    <t>Clariant AG</t>
  </si>
  <si>
    <t>CCMZ1E5</t>
  </si>
  <si>
    <t>CMZB</t>
  </si>
  <si>
    <t>Commerzbank AG</t>
  </si>
  <si>
    <t>CCOC1U5</t>
  </si>
  <si>
    <t>COP</t>
  </si>
  <si>
    <t>ConocoPhillips</t>
  </si>
  <si>
    <t>CCONT1E5</t>
  </si>
  <si>
    <t>CONGR</t>
  </si>
  <si>
    <t>Continental AG</t>
  </si>
  <si>
    <t>CCOX1U5</t>
  </si>
  <si>
    <t>COXENT</t>
  </si>
  <si>
    <t>Cox Enterprises Inc</t>
  </si>
  <si>
    <t>CCPB1U5</t>
  </si>
  <si>
    <t>CPB</t>
  </si>
  <si>
    <t>Campbell Soup Co</t>
  </si>
  <si>
    <t>CCPG1E5</t>
  </si>
  <si>
    <t>CPGLN</t>
  </si>
  <si>
    <t>Compass Group PLC</t>
  </si>
  <si>
    <t>CCSX1U5</t>
  </si>
  <si>
    <t>CSX</t>
  </si>
  <si>
    <t>CSX Corp</t>
  </si>
  <si>
    <t>CCTL1U5</t>
  </si>
  <si>
    <t>LUMN</t>
  </si>
  <si>
    <t>CenturyLink, Inc.</t>
  </si>
  <si>
    <t>CCVC1U5</t>
  </si>
  <si>
    <t>CVC</t>
  </si>
  <si>
    <t>Altice USA Inc</t>
  </si>
  <si>
    <t>CCVS1U5</t>
  </si>
  <si>
    <t>CVS</t>
  </si>
  <si>
    <t>CVS Health Corp</t>
  </si>
  <si>
    <t>CDAL1U5</t>
  </si>
  <si>
    <t>DAL</t>
  </si>
  <si>
    <t>Delta Air Lines Inc</t>
  </si>
  <si>
    <t>CDAN1E5</t>
  </si>
  <si>
    <t>DANBNK</t>
  </si>
  <si>
    <t>Danske Bank A/S</t>
  </si>
  <si>
    <t>CDB1E5</t>
  </si>
  <si>
    <t>DB</t>
  </si>
  <si>
    <t>Deutsche Bank AG</t>
  </si>
  <si>
    <t>CDCX1E5</t>
  </si>
  <si>
    <t>MBGGR</t>
  </si>
  <si>
    <t>Daimler AG</t>
  </si>
  <si>
    <t>CDD1U5</t>
  </si>
  <si>
    <t>CTVA</t>
  </si>
  <si>
    <t>EI du Pont de Nemours &amp; Co</t>
  </si>
  <si>
    <t>CDE1U5</t>
  </si>
  <si>
    <t>DE</t>
  </si>
  <si>
    <t>Deere &amp; Co</t>
  </si>
  <si>
    <t>CDELL1U5</t>
  </si>
  <si>
    <t>DELL</t>
  </si>
  <si>
    <t>Dell Technologies Inc</t>
  </si>
  <si>
    <t>CDGX1U5</t>
  </si>
  <si>
    <t>DGX</t>
  </si>
  <si>
    <t>Quest Diagnostics Inc</t>
  </si>
  <si>
    <t>CDHI1U5</t>
  </si>
  <si>
    <t>DHI</t>
  </si>
  <si>
    <t>DR Horton Inc</t>
  </si>
  <si>
    <t>CDHR1U5</t>
  </si>
  <si>
    <t>DHR</t>
  </si>
  <si>
    <t>Danaher Corp</t>
  </si>
  <si>
    <t>CDIAG1E5</t>
  </si>
  <si>
    <t>DGELN</t>
  </si>
  <si>
    <t>Diageo PLC</t>
  </si>
  <si>
    <t>CDISH1U5</t>
  </si>
  <si>
    <t>DISH</t>
  </si>
  <si>
    <t>DISH Network Corporation</t>
  </si>
  <si>
    <t>CDOW1U5</t>
  </si>
  <si>
    <t>DD</t>
  </si>
  <si>
    <t>DowDuPont Inc</t>
  </si>
  <si>
    <t>CDR1U5</t>
  </si>
  <si>
    <t>D</t>
  </si>
  <si>
    <t>Dominion Energy Inc</t>
  </si>
  <si>
    <t>CDRI1U5</t>
  </si>
  <si>
    <t>DRI</t>
  </si>
  <si>
    <t>Darden Restaurants Inc</t>
  </si>
  <si>
    <t>CDT1E5</t>
  </si>
  <si>
    <t>DT</t>
  </si>
  <si>
    <t>Deutsche Telekom AG</t>
  </si>
  <si>
    <t>CDTC1U5</t>
  </si>
  <si>
    <t>Paper Excellence Canada Holdings Corp</t>
  </si>
  <si>
    <t>CDVN1U5</t>
  </si>
  <si>
    <t>DVN</t>
  </si>
  <si>
    <t>Devon Energy Corp</t>
  </si>
  <si>
    <t>CEDF1E5</t>
  </si>
  <si>
    <t>EDF</t>
  </si>
  <si>
    <t>Electricite de France SA</t>
  </si>
  <si>
    <t>CELT1E5</t>
  </si>
  <si>
    <t>ELTLX</t>
  </si>
  <si>
    <t>Electrolux AB</t>
  </si>
  <si>
    <t>CEMN1U5</t>
  </si>
  <si>
    <t>EMN</t>
  </si>
  <si>
    <t>Eastman Chemical Co</t>
  </si>
  <si>
    <t>CENEL1E5</t>
  </si>
  <si>
    <t>ENELIM</t>
  </si>
  <si>
    <t>Enel SpA</t>
  </si>
  <si>
    <t>CENI1E5</t>
  </si>
  <si>
    <t>ENIIM</t>
  </si>
  <si>
    <t>Eni SpA</t>
  </si>
  <si>
    <t>CEON1E5</t>
  </si>
  <si>
    <t>EOANGR</t>
  </si>
  <si>
    <t>E.ON SE</t>
  </si>
  <si>
    <t>CEPOR1E5</t>
  </si>
  <si>
    <t>EDPPL</t>
  </si>
  <si>
    <t>EDP - Energias de Portugal SA</t>
  </si>
  <si>
    <t>CERIC1E5</t>
  </si>
  <si>
    <t>ERICB</t>
  </si>
  <si>
    <t>Telefonaktiebolaget LM Ericsson</t>
  </si>
  <si>
    <t>CEXC1U5</t>
  </si>
  <si>
    <t>EXC</t>
  </si>
  <si>
    <t>Exelon Corp</t>
  </si>
  <si>
    <t>CEXH1E5</t>
  </si>
  <si>
    <t>SWFP</t>
  </si>
  <si>
    <t>Sodexo SA</t>
  </si>
  <si>
    <t>CFD1U5</t>
  </si>
  <si>
    <t>M</t>
  </si>
  <si>
    <t>Macy's Inc</t>
  </si>
  <si>
    <t>CFDX1U5</t>
  </si>
  <si>
    <t>FDX</t>
  </si>
  <si>
    <t>FedEx Corp</t>
  </si>
  <si>
    <t>CFE1U5</t>
  </si>
  <si>
    <t>FE</t>
  </si>
  <si>
    <t>FirstEnergy Corp</t>
  </si>
  <si>
    <t>CFIAT1E5</t>
  </si>
  <si>
    <t>STLA</t>
  </si>
  <si>
    <t>Fiat Chrysler Automobiles NV</t>
  </si>
  <si>
    <t>CFM1U5</t>
  </si>
  <si>
    <t>F</t>
  </si>
  <si>
    <t>Ford Motor Co</t>
  </si>
  <si>
    <t>CFMEC1E5</t>
  </si>
  <si>
    <t>LDOIM</t>
  </si>
  <si>
    <t>Leonardo SpA</t>
  </si>
  <si>
    <t>CFPL1U5</t>
  </si>
  <si>
    <t>NEE</t>
  </si>
  <si>
    <t>NextEra Energy Inc</t>
  </si>
  <si>
    <t>CFSAI1U5</t>
  </si>
  <si>
    <t>AGO</t>
  </si>
  <si>
    <t>Assured Guaranty Ltd</t>
  </si>
  <si>
    <t>CFSP1E5</t>
  </si>
  <si>
    <t>SWEDA</t>
  </si>
  <si>
    <t>Swedbank AB</t>
  </si>
  <si>
    <t>CFTEL1E5</t>
  </si>
  <si>
    <t>ORAFP</t>
  </si>
  <si>
    <t>Orange SA</t>
  </si>
  <si>
    <t>CGAS1E5</t>
  </si>
  <si>
    <t>NTGYSM</t>
  </si>
  <si>
    <t>Naturgy Energy Group S.A.</t>
  </si>
  <si>
    <t>CGAZ1E5</t>
  </si>
  <si>
    <t>ENGIFP</t>
  </si>
  <si>
    <t>Engie SA</t>
  </si>
  <si>
    <t>CGCI1U5</t>
  </si>
  <si>
    <t>TGNA</t>
  </si>
  <si>
    <t>TEGNA Inc</t>
  </si>
  <si>
    <t>CGE1U5</t>
  </si>
  <si>
    <t>GE</t>
  </si>
  <si>
    <t>General Electric Co</t>
  </si>
  <si>
    <t>CGIS1U5</t>
  </si>
  <si>
    <t>GIS</t>
  </si>
  <si>
    <t>General Mills Inc</t>
  </si>
  <si>
    <t>CGKN1E5</t>
  </si>
  <si>
    <t>GKNLN</t>
  </si>
  <si>
    <t>GKN Holdings PLC</t>
  </si>
  <si>
    <t>CGLE1E5</t>
  </si>
  <si>
    <t>GLENLN</t>
  </si>
  <si>
    <t>Glencore PLC</t>
  </si>
  <si>
    <t>CGMAC1U5</t>
  </si>
  <si>
    <t>ALLY</t>
  </si>
  <si>
    <t>Ally Financial Inc</t>
  </si>
  <si>
    <t>CGOB1E5</t>
  </si>
  <si>
    <t>SGOFP</t>
  </si>
  <si>
    <t>Cie de Saint-Gobain</t>
  </si>
  <si>
    <t>CGPS1U5</t>
  </si>
  <si>
    <t>GPS</t>
  </si>
  <si>
    <t>Gap Inc/The</t>
  </si>
  <si>
    <t>CGT1U5</t>
  </si>
  <si>
    <t>GT</t>
  </si>
  <si>
    <t>The Goodyear Tire &amp; Rubber Company</t>
  </si>
  <si>
    <t>CHAL1U5</t>
  </si>
  <si>
    <t>HAL</t>
  </si>
  <si>
    <t>Halliburton Co</t>
  </si>
  <si>
    <t>CHAN1E5</t>
  </si>
  <si>
    <t>HANRUE</t>
  </si>
  <si>
    <t>HDI Haftpflichtverband der Deutschen Industrie VaG</t>
  </si>
  <si>
    <t>CHCA1U5</t>
  </si>
  <si>
    <t>HCA</t>
  </si>
  <si>
    <t>HCA Healthcare Inc</t>
  </si>
  <si>
    <t>CHD1U5</t>
  </si>
  <si>
    <t>HD</t>
  </si>
  <si>
    <t>Home Depot Inc/The</t>
  </si>
  <si>
    <t>CHEI1E5</t>
  </si>
  <si>
    <t>HEIGR</t>
  </si>
  <si>
    <t>HeidelbergCement AG</t>
  </si>
  <si>
    <t>CHENK1E5</t>
  </si>
  <si>
    <t>HENKEL</t>
  </si>
  <si>
    <t>Henkel AG &amp; Co KGaA</t>
  </si>
  <si>
    <t>CHNZ1U5</t>
  </si>
  <si>
    <t>KHC</t>
  </si>
  <si>
    <t>Kraft Heinz Co/The</t>
  </si>
  <si>
    <t>CHOL1E5</t>
  </si>
  <si>
    <t>LHNVX</t>
  </si>
  <si>
    <t>LafargeHolcim Ltd</t>
  </si>
  <si>
    <t>CHON1U5</t>
  </si>
  <si>
    <t>HON</t>
  </si>
  <si>
    <t>Honeywell International Inc</t>
  </si>
  <si>
    <t>CHRB1U5</t>
  </si>
  <si>
    <t>HRB</t>
  </si>
  <si>
    <t>H&amp;R Block Inc</t>
  </si>
  <si>
    <t>CHTZ1U5</t>
  </si>
  <si>
    <t>HTZ</t>
  </si>
  <si>
    <t>Hertz Global Holdings Inc</t>
  </si>
  <si>
    <t>CHWP1U5</t>
  </si>
  <si>
    <t>HPQ</t>
  </si>
  <si>
    <t>HP Inc</t>
  </si>
  <si>
    <t>CIBER1E5</t>
  </si>
  <si>
    <t>IBESM</t>
  </si>
  <si>
    <t>Iberdrola SA</t>
  </si>
  <si>
    <t>CIBM1U5</t>
  </si>
  <si>
    <t>IBM</t>
  </si>
  <si>
    <t>International Business Machines Corp</t>
  </si>
  <si>
    <t>CINT1E5</t>
  </si>
  <si>
    <t>INTNED</t>
  </si>
  <si>
    <t>ING Groep NV</t>
  </si>
  <si>
    <t>CIP1U5</t>
  </si>
  <si>
    <t>IP</t>
  </si>
  <si>
    <t>International Paper Co</t>
  </si>
  <si>
    <t>CITOB1E5</t>
  </si>
  <si>
    <t>IMBLN</t>
  </si>
  <si>
    <t>Imperial Brands PLC</t>
  </si>
  <si>
    <t>CJNJ1U5</t>
  </si>
  <si>
    <t>JNJ</t>
  </si>
  <si>
    <t>Johnson &amp; Johnson</t>
  </si>
  <si>
    <t>CJWN1U5</t>
  </si>
  <si>
    <t>JWN</t>
  </si>
  <si>
    <t>Nordstrom Inc</t>
  </si>
  <si>
    <t>CKBH1U5</t>
  </si>
  <si>
    <t>KBH</t>
  </si>
  <si>
    <t>KB Home</t>
  </si>
  <si>
    <t>CKFT1U5</t>
  </si>
  <si>
    <t>MDLZ</t>
  </si>
  <si>
    <t>Mondelez International Inc</t>
  </si>
  <si>
    <t>CKMI1U5</t>
  </si>
  <si>
    <t>KMI</t>
  </si>
  <si>
    <t>Kinder Morgan Inc/DE</t>
  </si>
  <si>
    <t>CKPN1E5</t>
  </si>
  <si>
    <t>KPN</t>
  </si>
  <si>
    <t>Koninklijke KPN NV</t>
  </si>
  <si>
    <t>CKR1U5</t>
  </si>
  <si>
    <t>KR</t>
  </si>
  <si>
    <t>Kroger Co/The</t>
  </si>
  <si>
    <t>CKSS1U5</t>
  </si>
  <si>
    <t>KSS</t>
  </si>
  <si>
    <t>Kohl's Corp</t>
  </si>
  <si>
    <t>CLEN1U5</t>
  </si>
  <si>
    <t>LEN</t>
  </si>
  <si>
    <t>Lennar Corp</t>
  </si>
  <si>
    <t>CLIB1U5</t>
  </si>
  <si>
    <t>LINTA</t>
  </si>
  <si>
    <t>Liberty Interactive LLC</t>
  </si>
  <si>
    <t>CLMT1U5</t>
  </si>
  <si>
    <t>LMT</t>
  </si>
  <si>
    <t>Lockheed Martin Corp</t>
  </si>
  <si>
    <t>CLNC1U5</t>
  </si>
  <si>
    <t>LNC</t>
  </si>
  <si>
    <t>Lincoln National Corp</t>
  </si>
  <si>
    <t>CLOW1U5</t>
  </si>
  <si>
    <t>LOW</t>
  </si>
  <si>
    <t>Lowe's Cos Inc</t>
  </si>
  <si>
    <t>CLPX1U5</t>
  </si>
  <si>
    <t>LPX</t>
  </si>
  <si>
    <t>Louisiana-Pacific Corp</t>
  </si>
  <si>
    <t>CLTD1U5</t>
  </si>
  <si>
    <t>LB</t>
  </si>
  <si>
    <t>L Brands Inc</t>
  </si>
  <si>
    <t>CLTR1U5</t>
  </si>
  <si>
    <t>L</t>
  </si>
  <si>
    <t>Loews Corp</t>
  </si>
  <si>
    <t>CLUFT1E5</t>
  </si>
  <si>
    <t>LHAGR</t>
  </si>
  <si>
    <t>Deutsche Lufthansa AG</t>
  </si>
  <si>
    <t>CLUV1U5</t>
  </si>
  <si>
    <t>LUV</t>
  </si>
  <si>
    <t>Southwest Airlines Co</t>
  </si>
  <si>
    <t>CMAR1U5</t>
  </si>
  <si>
    <t>MAR</t>
  </si>
  <si>
    <t>Marriott International Inc/MD</t>
  </si>
  <si>
    <t>CMBI1U5</t>
  </si>
  <si>
    <t>MBI</t>
  </si>
  <si>
    <t>MBIA Inc</t>
  </si>
  <si>
    <t>CMCD1U5</t>
  </si>
  <si>
    <t>MCD</t>
  </si>
  <si>
    <t>McDonald's Corp</t>
  </si>
  <si>
    <t>CMCK1U5</t>
  </si>
  <si>
    <t>MCK</t>
  </si>
  <si>
    <t>McKesson Corp</t>
  </si>
  <si>
    <t>CMES1E5</t>
  </si>
  <si>
    <t>METSA</t>
  </si>
  <si>
    <t>Metsa Board OYJ</t>
  </si>
  <si>
    <t>CMET1U5</t>
  </si>
  <si>
    <t>MET</t>
  </si>
  <si>
    <t>MetLife Inc</t>
  </si>
  <si>
    <t>CMGG1U5</t>
  </si>
  <si>
    <t>MGM</t>
  </si>
  <si>
    <t>MGM Resorts International</t>
  </si>
  <si>
    <t>CMKS1E5</t>
  </si>
  <si>
    <t>MKSLN</t>
  </si>
  <si>
    <t>Marks &amp; Spencer Group PLC</t>
  </si>
  <si>
    <t>CMO1U5</t>
  </si>
  <si>
    <t>MO</t>
  </si>
  <si>
    <t>Altria Group Inc</t>
  </si>
  <si>
    <t>CMOET1E5</t>
  </si>
  <si>
    <t>MCFP</t>
  </si>
  <si>
    <t>LVMH Moet Hennessy Louis Vuitton SE</t>
  </si>
  <si>
    <t>CMOT1U5</t>
  </si>
  <si>
    <t>MSI</t>
  </si>
  <si>
    <t>Motorola Solutions Inc</t>
  </si>
  <si>
    <t>CMTGI1U5</t>
  </si>
  <si>
    <t>MTG</t>
  </si>
  <si>
    <t>MGIC Investment Corp</t>
  </si>
  <si>
    <t>CMTRO1E5</t>
  </si>
  <si>
    <t>MEOGR</t>
  </si>
  <si>
    <t>METRO AG</t>
  </si>
  <si>
    <t>CMURE1E5</t>
  </si>
  <si>
    <t>CMWP1E5</t>
  </si>
  <si>
    <t>MWDP</t>
  </si>
  <si>
    <t>Wendel SA</t>
  </si>
  <si>
    <t>CNCX1U5</t>
  </si>
  <si>
    <t>ADGB</t>
  </si>
  <si>
    <t>Emirate of Abu Dhabi United Arab Emirates</t>
  </si>
  <si>
    <t>CNEM1U5</t>
  </si>
  <si>
    <t>NEM</t>
  </si>
  <si>
    <t>Newmont Mining Corp</t>
  </si>
  <si>
    <t>CNESN1E5</t>
  </si>
  <si>
    <t>NESNVX</t>
  </si>
  <si>
    <t>Nestle SA</t>
  </si>
  <si>
    <t>CNGG1E5</t>
  </si>
  <si>
    <t>NGGLN</t>
  </si>
  <si>
    <t>National Grid PLC</t>
  </si>
  <si>
    <t>CNOC1U5</t>
  </si>
  <si>
    <t>NOC</t>
  </si>
  <si>
    <t>Northrop Grumman Corp</t>
  </si>
  <si>
    <t>CNOKI1E5</t>
  </si>
  <si>
    <t>NOKIA</t>
  </si>
  <si>
    <t>Nokia OYJ</t>
  </si>
  <si>
    <t>CNRUC1U5</t>
  </si>
  <si>
    <t>NRUC</t>
  </si>
  <si>
    <t>National Rural Utilities Cooperative Finance Corp</t>
  </si>
  <si>
    <t>CNSC1U5</t>
  </si>
  <si>
    <t>NSC</t>
  </si>
  <si>
    <t>Norfolk Southern Corp</t>
  </si>
  <si>
    <t>CNTL1E5</t>
  </si>
  <si>
    <t>VMED</t>
  </si>
  <si>
    <t>Vmed O2 UK Ltd</t>
  </si>
  <si>
    <t>CNWL1U5</t>
  </si>
  <si>
    <t>NWL</t>
  </si>
  <si>
    <t>Newell Brands Inc</t>
  </si>
  <si>
    <t>COLN1U5</t>
  </si>
  <si>
    <t>OLN</t>
  </si>
  <si>
    <t>Olin Corp</t>
  </si>
  <si>
    <t>COMC1U5</t>
  </si>
  <si>
    <t>OMC</t>
  </si>
  <si>
    <t>Omnicom Group Inc</t>
  </si>
  <si>
    <t>COXY1U5</t>
  </si>
  <si>
    <t>OXY</t>
  </si>
  <si>
    <t>Occidental Petroleum Corp</t>
  </si>
  <si>
    <t>CPBI1U5</t>
  </si>
  <si>
    <t>PBI</t>
  </si>
  <si>
    <t>Pitney Bowes Inc</t>
  </si>
  <si>
    <t>CPER1E5</t>
  </si>
  <si>
    <t>RIFP</t>
  </si>
  <si>
    <t>Pernod Ricard SA</t>
  </si>
  <si>
    <t>CPFE1U5</t>
  </si>
  <si>
    <t>PFE</t>
  </si>
  <si>
    <t>Pfizer Inc</t>
  </si>
  <si>
    <t>CPG1U5</t>
  </si>
  <si>
    <t>PG</t>
  </si>
  <si>
    <t>Procter &amp; Gamble Co/The</t>
  </si>
  <si>
    <t>CPHG1E5</t>
  </si>
  <si>
    <t>PHIANA</t>
  </si>
  <si>
    <t>Koninklijke Philips NV</t>
  </si>
  <si>
    <t>CPHM1U5</t>
  </si>
  <si>
    <t>PHM</t>
  </si>
  <si>
    <t>PulteGroup Inc</t>
  </si>
  <si>
    <t>CPOL1U5</t>
  </si>
  <si>
    <t>POL</t>
  </si>
  <si>
    <t>PolyOne Corporation</t>
  </si>
  <si>
    <t>CPRTP1E5</t>
  </si>
  <si>
    <t>KERFP</t>
  </si>
  <si>
    <t>Kering</t>
  </si>
  <si>
    <t>CPRU1E5</t>
  </si>
  <si>
    <t>PRUFIN</t>
  </si>
  <si>
    <t>Prudential PLC</t>
  </si>
  <si>
    <t>CPRU1U5</t>
  </si>
  <si>
    <t>PRU</t>
  </si>
  <si>
    <t>Prudential Financial Inc</t>
  </si>
  <si>
    <t>CPSON1E5</t>
  </si>
  <si>
    <t>PSON</t>
  </si>
  <si>
    <t>Pearson PLC</t>
  </si>
  <si>
    <t>CPUB1E5</t>
  </si>
  <si>
    <t>PUBFP</t>
  </si>
  <si>
    <t>Publicis Groupe SA</t>
  </si>
  <si>
    <t>CRAB1E5</t>
  </si>
  <si>
    <t>RABOBK</t>
  </si>
  <si>
    <t>Cooperatieve Rabobank UA</t>
  </si>
  <si>
    <t>CRAD1U5</t>
  </si>
  <si>
    <t>RAD</t>
  </si>
  <si>
    <t>Rite Aid Corp</t>
  </si>
  <si>
    <t>CRCL1U5</t>
  </si>
  <si>
    <t>RCL</t>
  </si>
  <si>
    <t>Royal Caribbean Cruises Ltd</t>
  </si>
  <si>
    <t>CRDN1U5</t>
  </si>
  <si>
    <t>RDN</t>
  </si>
  <si>
    <t>Radian Group Inc</t>
  </si>
  <si>
    <t>CREN1E5</t>
  </si>
  <si>
    <t>RENAUL</t>
  </si>
  <si>
    <t>Renault SA</t>
  </si>
  <si>
    <t>CREP1E5</t>
  </si>
  <si>
    <t>REPSM</t>
  </si>
  <si>
    <t>Repsol SA</t>
  </si>
  <si>
    <t>CRIG1U5</t>
  </si>
  <si>
    <t>RIG</t>
  </si>
  <si>
    <t>Transocean Ltd</t>
  </si>
  <si>
    <t>CRII1U5</t>
  </si>
  <si>
    <t>URI</t>
  </si>
  <si>
    <t>United Rentals Inc</t>
  </si>
  <si>
    <t>CRUK1E5</t>
  </si>
  <si>
    <t>SRENVX</t>
  </si>
  <si>
    <t>Swiss Re AG</t>
  </si>
  <si>
    <t>CRYD1U5</t>
  </si>
  <si>
    <t>R</t>
  </si>
  <si>
    <t>Ryder System Inc</t>
  </si>
  <si>
    <t>CSBC1U5</t>
  </si>
  <si>
    <t>T</t>
  </si>
  <si>
    <t>AT&amp;T Inc</t>
  </si>
  <si>
    <t>CSEE1U5</t>
  </si>
  <si>
    <t>SEE</t>
  </si>
  <si>
    <t>Sealed Air Corp</t>
  </si>
  <si>
    <t>CSHW1U5</t>
  </si>
  <si>
    <t>SHW</t>
  </si>
  <si>
    <t>Sherwin-Williams Co/The</t>
  </si>
  <si>
    <t>CSIEM1E5</t>
  </si>
  <si>
    <t>SIEGR</t>
  </si>
  <si>
    <t>Siemens AG</t>
  </si>
  <si>
    <t>CSLMA1U5</t>
  </si>
  <si>
    <t>NAVI</t>
  </si>
  <si>
    <t>Navient Corp</t>
  </si>
  <si>
    <t>CSO1U5</t>
  </si>
  <si>
    <t>SO</t>
  </si>
  <si>
    <t>Southern Co/The</t>
  </si>
  <si>
    <t>CSOC1E5</t>
  </si>
  <si>
    <t>SOCGEN</t>
  </si>
  <si>
    <t>Societe Generale SA</t>
  </si>
  <si>
    <t>CSOLV1E5</t>
  </si>
  <si>
    <t>SOLBBB</t>
  </si>
  <si>
    <t>Solvay SA</t>
  </si>
  <si>
    <t>CSPG1U5</t>
  </si>
  <si>
    <t>SPG</t>
  </si>
  <si>
    <t>Simon Property Group Inc</t>
  </si>
  <si>
    <t>CSPLS1U5</t>
  </si>
  <si>
    <t>JNY</t>
  </si>
  <si>
    <t>Sycamore Partners LLC</t>
  </si>
  <si>
    <t>CSRE1U5</t>
  </si>
  <si>
    <t>SRE</t>
  </si>
  <si>
    <t>Sempra Energy</t>
  </si>
  <si>
    <t>CSTC1E5</t>
  </si>
  <si>
    <t>STANLN</t>
  </si>
  <si>
    <t>Standard Chartered PLC</t>
  </si>
  <si>
    <t>CSTM1E5</t>
  </si>
  <si>
    <t>CSTOI1E5</t>
  </si>
  <si>
    <t>NORWAY</t>
  </si>
  <si>
    <t>Kingdom of Norway</t>
  </si>
  <si>
    <t>CSTOR1E5</t>
  </si>
  <si>
    <t>STERV</t>
  </si>
  <si>
    <t>Stora Enso OYJ</t>
  </si>
  <si>
    <t>CSVS1E5</t>
  </si>
  <si>
    <t>SHBASS</t>
  </si>
  <si>
    <t>Svenska Handelsbanken AB</t>
  </si>
  <si>
    <t>CSWY1U5</t>
  </si>
  <si>
    <t>NEWALB</t>
  </si>
  <si>
    <t>Albertsons Cos Inc</t>
  </si>
  <si>
    <t>CSYN1E5</t>
  </si>
  <si>
    <t>SYNNVX</t>
  </si>
  <si>
    <t>Syngenta Finance NV</t>
  </si>
  <si>
    <t>CT350773</t>
  </si>
  <si>
    <t>TRPCN</t>
  </si>
  <si>
    <t>TransCanada Corp</t>
  </si>
  <si>
    <t>CT350857</t>
  </si>
  <si>
    <t>UNH</t>
  </si>
  <si>
    <t>UnitedHealth Group Inc</t>
  </si>
  <si>
    <t>CT352145</t>
  </si>
  <si>
    <t>LBTYA</t>
  </si>
  <si>
    <t>Liberty Global PLC</t>
  </si>
  <si>
    <t>CT352313</t>
  </si>
  <si>
    <t>VIVFP</t>
  </si>
  <si>
    <t>Vivendi SA</t>
  </si>
  <si>
    <t>CT353627</t>
  </si>
  <si>
    <t>UPS</t>
  </si>
  <si>
    <t>United Parcel Service Inc</t>
  </si>
  <si>
    <t>CT353808</t>
  </si>
  <si>
    <t>COF</t>
  </si>
  <si>
    <t>Capital One Financial Corp</t>
  </si>
  <si>
    <t>CT354143</t>
  </si>
  <si>
    <t>CARLB</t>
  </si>
  <si>
    <t>Carlsberg A/S</t>
  </si>
  <si>
    <t>CT354985</t>
  </si>
  <si>
    <t>MDC</t>
  </si>
  <si>
    <t>MDC Holdings Inc</t>
  </si>
  <si>
    <t>CT355177</t>
  </si>
  <si>
    <t>CNALN</t>
  </si>
  <si>
    <t>Centrica PLC</t>
  </si>
  <si>
    <t>CT355268</t>
  </si>
  <si>
    <t>AMD</t>
  </si>
  <si>
    <t>Advanced Micro Devices Inc</t>
  </si>
  <si>
    <t>CT355784</t>
  </si>
  <si>
    <t>HEIANA</t>
  </si>
  <si>
    <t>L'Arche Green NV</t>
  </si>
  <si>
    <t>CT356302</t>
  </si>
  <si>
    <t>NXTLN</t>
  </si>
  <si>
    <t>Next PLC</t>
  </si>
  <si>
    <t>CT356322</t>
  </si>
  <si>
    <t>NRG</t>
  </si>
  <si>
    <t>NRG Energy, Inc.</t>
  </si>
  <si>
    <t>CT356410</t>
  </si>
  <si>
    <t>AMKR</t>
  </si>
  <si>
    <t>Amkor Technology Inc</t>
  </si>
  <si>
    <t>CT357402</t>
  </si>
  <si>
    <t>SESGFP</t>
  </si>
  <si>
    <t>SES SA</t>
  </si>
  <si>
    <t>CT357624</t>
  </si>
  <si>
    <t>HOV</t>
  </si>
  <si>
    <t>Hovnanian Enterprises Inc</t>
  </si>
  <si>
    <t>CT357677</t>
  </si>
  <si>
    <t>UHS</t>
  </si>
  <si>
    <t>Universal Health Services, Inc.</t>
  </si>
  <si>
    <t>CT357681</t>
  </si>
  <si>
    <t>UIS</t>
  </si>
  <si>
    <t>Unisys Corp</t>
  </si>
  <si>
    <t>CT358302</t>
  </si>
  <si>
    <t>REYNOL</t>
  </si>
  <si>
    <t>Packaging Holdings Ltd</t>
  </si>
  <si>
    <t>CT361257</t>
  </si>
  <si>
    <t>EXPE</t>
  </si>
  <si>
    <t>Expedia Inc</t>
  </si>
  <si>
    <t>CT363132</t>
  </si>
  <si>
    <t>CNQCN</t>
  </si>
  <si>
    <t>Canadian Natural Resources Ltd</t>
  </si>
  <si>
    <t>CT363444</t>
  </si>
  <si>
    <t>CSCO</t>
  </si>
  <si>
    <t>Cisco Systems Inc</t>
  </si>
  <si>
    <t>CT363688</t>
  </si>
  <si>
    <t>CMCSA</t>
  </si>
  <si>
    <t>Comcast Corp</t>
  </si>
  <si>
    <t>CT365120</t>
  </si>
  <si>
    <t>NBR</t>
  </si>
  <si>
    <t>Nabors Industries Ltd</t>
  </si>
  <si>
    <t>CT365980</t>
  </si>
  <si>
    <t>RDSALN</t>
  </si>
  <si>
    <t>Royal Dutch Shell PLC</t>
  </si>
  <si>
    <t>CT366416</t>
  </si>
  <si>
    <t>TEVA</t>
  </si>
  <si>
    <t>Teva Pharmaceutical Finance Netherlands III BV</t>
  </si>
  <si>
    <t>CT367456</t>
  </si>
  <si>
    <t>HPT</t>
  </si>
  <si>
    <t>Hospitality Properties Trust</t>
  </si>
  <si>
    <t>CT368896</t>
  </si>
  <si>
    <t>HST</t>
  </si>
  <si>
    <t>Host Hotels &amp; Resorts Inc</t>
  </si>
  <si>
    <t>CT370292</t>
  </si>
  <si>
    <t>AXL</t>
  </si>
  <si>
    <t>American Axle &amp; Manufacturing Holdings Inc</t>
  </si>
  <si>
    <t>CT370372</t>
  </si>
  <si>
    <t>PKG</t>
  </si>
  <si>
    <t>Packaging Corp of America</t>
  </si>
  <si>
    <t>CT370412</t>
  </si>
  <si>
    <t>RTOLN</t>
  </si>
  <si>
    <t>Rentokil Initial PLC</t>
  </si>
  <si>
    <t>CT370608</t>
  </si>
  <si>
    <t>IRM</t>
  </si>
  <si>
    <t>Iron Mountain Incorporated</t>
  </si>
  <si>
    <t>CT370648</t>
  </si>
  <si>
    <t>BHCCN</t>
  </si>
  <si>
    <t>Bausch Health Cos Inc</t>
  </si>
  <si>
    <t>CT370688</t>
  </si>
  <si>
    <t>BYD</t>
  </si>
  <si>
    <t>Boyd Gaming Corporation</t>
  </si>
  <si>
    <t>CT371596</t>
  </si>
  <si>
    <t>ARMK</t>
  </si>
  <si>
    <t>Aramark Services Inc.</t>
  </si>
  <si>
    <t>CT372104</t>
  </si>
  <si>
    <t>PCG</t>
  </si>
  <si>
    <t>PG&amp;E Corp</t>
  </si>
  <si>
    <t>CT373332</t>
  </si>
  <si>
    <t>MUR</t>
  </si>
  <si>
    <t>Murphy Oil Corp</t>
  </si>
  <si>
    <t>CT374328</t>
  </si>
  <si>
    <t>TCKBCN</t>
  </si>
  <si>
    <t>Teck Resources Ltd</t>
  </si>
  <si>
    <t>CT413167</t>
  </si>
  <si>
    <t>PPCGA</t>
  </si>
  <si>
    <t>CT413383</t>
  </si>
  <si>
    <t>NWG</t>
  </si>
  <si>
    <t>Royal Bank of Scotland PLC/The</t>
  </si>
  <si>
    <t>CT706822</t>
  </si>
  <si>
    <t>LLOYDS</t>
  </si>
  <si>
    <t>Lloyds Banking Group PLC</t>
  </si>
  <si>
    <t>CT716410</t>
  </si>
  <si>
    <t>SZUGR</t>
  </si>
  <si>
    <t>Sueddeutsche Zuckerruebenverwertungs-Genossenschaft eG</t>
  </si>
  <si>
    <t>CT718513</t>
  </si>
  <si>
    <t>PNC</t>
  </si>
  <si>
    <t>PNC Financial Services Group Inc/The</t>
  </si>
  <si>
    <t>CT761604</t>
  </si>
  <si>
    <t>STENA</t>
  </si>
  <si>
    <t>Stena AB</t>
  </si>
  <si>
    <t>CT778455</t>
  </si>
  <si>
    <t>ROLLS</t>
  </si>
  <si>
    <t>Rolls-Royce Holdings PLC</t>
  </si>
  <si>
    <t>CT786869</t>
  </si>
  <si>
    <t>HSBC</t>
  </si>
  <si>
    <t>HSBC Holdings PLC</t>
  </si>
  <si>
    <t>CT969786</t>
  </si>
  <si>
    <t>New Albertsons LP</t>
  </si>
  <si>
    <t>CTEC1E5</t>
  </si>
  <si>
    <t>FTI</t>
  </si>
  <si>
    <t>TechnipFMC PLC</t>
  </si>
  <si>
    <t>CTELF1E5</t>
  </si>
  <si>
    <t>TTEFP</t>
  </si>
  <si>
    <t>TotalEnergies SE</t>
  </si>
  <si>
    <t>CTELN1E5</t>
  </si>
  <si>
    <t>TELNO</t>
  </si>
  <si>
    <t>Telenor ASA</t>
  </si>
  <si>
    <t>CTGT1U5</t>
  </si>
  <si>
    <t>TGT</t>
  </si>
  <si>
    <t>Target Corp</t>
  </si>
  <si>
    <t>CTHC1U5</t>
  </si>
  <si>
    <t>THC</t>
  </si>
  <si>
    <t>Tenet Healthcare Corp</t>
  </si>
  <si>
    <t>CTHYS1E5</t>
  </si>
  <si>
    <t>CTIIM1E5</t>
  </si>
  <si>
    <t>TITIM</t>
  </si>
  <si>
    <t>Telecom Italia SpA/Milano</t>
  </si>
  <si>
    <t>CTKA1E5</t>
  </si>
  <si>
    <t>AMXLMM</t>
  </si>
  <si>
    <t>America Movil SAB de CV</t>
  </si>
  <si>
    <t>CTLFO1E5</t>
  </si>
  <si>
    <t>TELEFO</t>
  </si>
  <si>
    <t>Telefonica SA</t>
  </si>
  <si>
    <t>CTLIA1E5</t>
  </si>
  <si>
    <t>TELIAS</t>
  </si>
  <si>
    <t>Telia Co AB</t>
  </si>
  <si>
    <t>CTOL1U5</t>
  </si>
  <si>
    <t>TOL</t>
  </si>
  <si>
    <t>Toll Brothers Inc</t>
  </si>
  <si>
    <t>CTPG1E5</t>
  </si>
  <si>
    <t>PNLNA</t>
  </si>
  <si>
    <t>PostNL NV</t>
  </si>
  <si>
    <t>CTSCO1E5</t>
  </si>
  <si>
    <t>TSCOLN</t>
  </si>
  <si>
    <t>Tesco PLC</t>
  </si>
  <si>
    <t>CTSG1U5</t>
  </si>
  <si>
    <t>SABHLD</t>
  </si>
  <si>
    <t>Sabre Corp</t>
  </si>
  <si>
    <t>CTSN1U5</t>
  </si>
  <si>
    <t>TSN</t>
  </si>
  <si>
    <t>Tyson Foods Inc</t>
  </si>
  <si>
    <t>CTUI1E5</t>
  </si>
  <si>
    <t>TUIGR</t>
  </si>
  <si>
    <t>TUI AG</t>
  </si>
  <si>
    <t>CTYC1U5</t>
  </si>
  <si>
    <t>JCI</t>
  </si>
  <si>
    <t>Johnson Controls International plc</t>
  </si>
  <si>
    <t>CUNB1E5</t>
  </si>
  <si>
    <t>ULFP</t>
  </si>
  <si>
    <t>Unibail-Rodamco SE</t>
  </si>
  <si>
    <t>CUNI1E5</t>
  </si>
  <si>
    <t>UCGIM</t>
  </si>
  <si>
    <t>UniCredit SpA</t>
  </si>
  <si>
    <t>CUNP1U5</t>
  </si>
  <si>
    <t>UNP</t>
  </si>
  <si>
    <t>Union Pacific Corp</t>
  </si>
  <si>
    <t>CUS1U5</t>
  </si>
  <si>
    <t>X</t>
  </si>
  <si>
    <t>United States Steel Corp</t>
  </si>
  <si>
    <t>CUTX1U5</t>
  </si>
  <si>
    <t>RTX</t>
  </si>
  <si>
    <t>Raytheon Technologies Corp</t>
  </si>
  <si>
    <t>CUU1E5</t>
  </si>
  <si>
    <t>UU</t>
  </si>
  <si>
    <t>United Utilities Group PLC</t>
  </si>
  <si>
    <t>CVIA1U5</t>
  </si>
  <si>
    <t>NATAMU</t>
  </si>
  <si>
    <t>National Amusements Inc</t>
  </si>
  <si>
    <t>CVINC1E5</t>
  </si>
  <si>
    <t>DGFP</t>
  </si>
  <si>
    <t>Vinci SA</t>
  </si>
  <si>
    <t>CVIVE1E5</t>
  </si>
  <si>
    <t>SEVFP</t>
  </si>
  <si>
    <t>Suez</t>
  </si>
  <si>
    <t>CVIVU1E5</t>
  </si>
  <si>
    <t>CVLO1U5</t>
  </si>
  <si>
    <t>VLO</t>
  </si>
  <si>
    <t>Valero Energy Corp</t>
  </si>
  <si>
    <t>CVLOF1E5</t>
  </si>
  <si>
    <t>FRFP</t>
  </si>
  <si>
    <t>Valeo SA</t>
  </si>
  <si>
    <t>CVLVY1E5</t>
  </si>
  <si>
    <t>VLVY</t>
  </si>
  <si>
    <t>Volvo AB</t>
  </si>
  <si>
    <t>CVOD1E5</t>
  </si>
  <si>
    <t>VOD</t>
  </si>
  <si>
    <t>Vodafone Group PLC</t>
  </si>
  <si>
    <t>CVW1E5</t>
  </si>
  <si>
    <t>VW</t>
  </si>
  <si>
    <t>Volkswagen AG</t>
  </si>
  <si>
    <t>CVZGF1U5</t>
  </si>
  <si>
    <t>VZ</t>
  </si>
  <si>
    <t>Verizon Communications Inc</t>
  </si>
  <si>
    <t>CWFT1U5</t>
  </si>
  <si>
    <t>WFT</t>
  </si>
  <si>
    <t>Weatherford International PLC</t>
  </si>
  <si>
    <t>CWHR1U5</t>
  </si>
  <si>
    <t>WHR</t>
  </si>
  <si>
    <t>Whirlpool Corp</t>
  </si>
  <si>
    <t>CWMB1U5</t>
  </si>
  <si>
    <t>WMB</t>
  </si>
  <si>
    <t>Williams Cos Inc/The</t>
  </si>
  <si>
    <t>CWMT1U5</t>
  </si>
  <si>
    <t>WMT</t>
  </si>
  <si>
    <t>Wal-Mart Stores Inc</t>
  </si>
  <si>
    <t>CWPP1E5</t>
  </si>
  <si>
    <t>WPPLN</t>
  </si>
  <si>
    <t>WPP PLC</t>
  </si>
  <si>
    <t>CWY1U5</t>
  </si>
  <si>
    <t>WY</t>
  </si>
  <si>
    <t>Weyerhaeuser Co</t>
  </si>
  <si>
    <t>CX353646</t>
  </si>
  <si>
    <t>ITVLN</t>
  </si>
  <si>
    <t>ITV PLC</t>
  </si>
  <si>
    <t>CX355476</t>
  </si>
  <si>
    <t>FCX</t>
  </si>
  <si>
    <t>Freeport-McMoRan Inc</t>
  </si>
  <si>
    <t>CX356615</t>
  </si>
  <si>
    <t>ORCL</t>
  </si>
  <si>
    <t>Oracle Corp</t>
  </si>
  <si>
    <t>CX356919</t>
  </si>
  <si>
    <t>BALL</t>
  </si>
  <si>
    <t>Ball Corp</t>
  </si>
  <si>
    <t>CX357111</t>
  </si>
  <si>
    <t>BRK</t>
  </si>
  <si>
    <t>Berkshire Hathaway Inc</t>
  </si>
  <si>
    <t>CX357135</t>
  </si>
  <si>
    <t>ENBCN</t>
  </si>
  <si>
    <t>Enbridge Inc</t>
  </si>
  <si>
    <t>CX357231</t>
  </si>
  <si>
    <t>CX358019</t>
  </si>
  <si>
    <t>AFFP</t>
  </si>
  <si>
    <t>Air France-KLM</t>
  </si>
  <si>
    <t>CX359760</t>
  </si>
  <si>
    <t>RRDPRI</t>
  </si>
  <si>
    <t>Chatham Asset Management LLC</t>
  </si>
  <si>
    <t>CX374716</t>
  </si>
  <si>
    <t>DVA</t>
  </si>
  <si>
    <t>DaVita Inc.</t>
  </si>
  <si>
    <t>CX375736</t>
  </si>
  <si>
    <t>MTNA</t>
  </si>
  <si>
    <t>ArcelorMittal</t>
  </si>
  <si>
    <t>CX376096</t>
  </si>
  <si>
    <t>TELVIS</t>
  </si>
  <si>
    <t>Grupo Televisa SAB</t>
  </si>
  <si>
    <t>CX376424</t>
  </si>
  <si>
    <t>CYH</t>
  </si>
  <si>
    <t>Community Health Systems Inc</t>
  </si>
  <si>
    <t>CX398909</t>
  </si>
  <si>
    <t>INTC</t>
  </si>
  <si>
    <t>Intel Corp</t>
  </si>
  <si>
    <t>CX403486</t>
  </si>
  <si>
    <t>LXSGR</t>
  </si>
  <si>
    <t>LANXESS AG</t>
  </si>
  <si>
    <t>CX403610</t>
  </si>
  <si>
    <t>OMFUS</t>
  </si>
  <si>
    <t>OneMain Finance Corp</t>
  </si>
  <si>
    <t>CX404178</t>
  </si>
  <si>
    <t>UAL</t>
  </si>
  <si>
    <t>United Continental Holdings Inc</t>
  </si>
  <si>
    <t>CX404670</t>
  </si>
  <si>
    <t>RLGYHO</t>
  </si>
  <si>
    <t>Realogy Holdings Corp</t>
  </si>
  <si>
    <t>CX760539</t>
  </si>
  <si>
    <t>CMACG</t>
  </si>
  <si>
    <t>CMA CGM SA</t>
  </si>
  <si>
    <t>CXRX1U5</t>
  </si>
  <si>
    <t>XRX</t>
  </si>
  <si>
    <t>Xerox Corp</t>
  </si>
  <si>
    <t>CY021331</t>
  </si>
  <si>
    <t>ABIBB</t>
  </si>
  <si>
    <t>Anheuser-Busch InBev SA/NV</t>
  </si>
  <si>
    <t>CY023020</t>
  </si>
  <si>
    <t>CCK</t>
  </si>
  <si>
    <t>Crown Holdings Inc</t>
  </si>
  <si>
    <t>CY074425</t>
  </si>
  <si>
    <t>WBA</t>
  </si>
  <si>
    <t>Walgreens Boots Alliance Inc</t>
  </si>
  <si>
    <t>CY075977</t>
  </si>
  <si>
    <t>GM</t>
  </si>
  <si>
    <t>General Motors Co</t>
  </si>
  <si>
    <t>CY088728</t>
  </si>
  <si>
    <t>HPLGR</t>
  </si>
  <si>
    <t>Hapag-Lloyd AG</t>
  </si>
  <si>
    <t>CY088950</t>
  </si>
  <si>
    <t>ARDAGH</t>
  </si>
  <si>
    <t>Ardagh Metal Packaging Finance USA LLC</t>
  </si>
  <si>
    <t>CY101209</t>
  </si>
  <si>
    <t>TTMTIN</t>
  </si>
  <si>
    <t>Tata Motors Ltd</t>
  </si>
  <si>
    <t>CY101284</t>
  </si>
  <si>
    <t>SKGID</t>
  </si>
  <si>
    <t>Smurfit Kappa Group PLC</t>
  </si>
  <si>
    <t>CY169005</t>
  </si>
  <si>
    <t>VOLTPA</t>
  </si>
  <si>
    <t>Volt Parent LP</t>
  </si>
  <si>
    <t>CY169099</t>
  </si>
  <si>
    <t>CHTR</t>
  </si>
  <si>
    <t>Charter Communications Inc</t>
  </si>
  <si>
    <t>CY183711</t>
  </si>
  <si>
    <t>GNW</t>
  </si>
  <si>
    <t>Genworth Financial Inc</t>
  </si>
  <si>
    <t>CY184970</t>
  </si>
  <si>
    <t>CNHI</t>
  </si>
  <si>
    <t>CNH Industrial NV</t>
  </si>
  <si>
    <t>CY185043</t>
  </si>
  <si>
    <t>MPC</t>
  </si>
  <si>
    <t>Marathon Petroleum Corp</t>
  </si>
  <si>
    <t>CY188846</t>
  </si>
  <si>
    <t>ATCNA</t>
  </si>
  <si>
    <t>Altice NV</t>
  </si>
  <si>
    <t>CY188990</t>
  </si>
  <si>
    <t>ACSSM</t>
  </si>
  <si>
    <t>ACS Actividades de Construccion y Servicios SA</t>
  </si>
  <si>
    <t>CY189038</t>
  </si>
  <si>
    <t>LOUDRE</t>
  </si>
  <si>
    <t>Louis Dreyfus Co BV</t>
  </si>
  <si>
    <t>CY189134</t>
  </si>
  <si>
    <t>RXLFP</t>
  </si>
  <si>
    <t>Rexel SA</t>
  </si>
  <si>
    <t>CY191121</t>
  </si>
  <si>
    <t>SFRFP</t>
  </si>
  <si>
    <t>Altice France SA</t>
  </si>
  <si>
    <t>CY192644</t>
  </si>
  <si>
    <t>IAGLN</t>
  </si>
  <si>
    <t>International Consolidated Airlines Group SA</t>
  </si>
  <si>
    <t>CY283207</t>
  </si>
  <si>
    <t>BOPRLN</t>
  </si>
  <si>
    <t>Boparan Holdco Ltd</t>
  </si>
  <si>
    <t>CY283735</t>
  </si>
  <si>
    <t>PEMIHO</t>
  </si>
  <si>
    <t>Permira Holdings LLP</t>
  </si>
  <si>
    <t>CY283783</t>
  </si>
  <si>
    <t>NVFVES</t>
  </si>
  <si>
    <t>Novafives SAS</t>
  </si>
  <si>
    <t>CY283831</t>
  </si>
  <si>
    <t>PFDLN</t>
  </si>
  <si>
    <t>Premier Foods PLC</t>
  </si>
  <si>
    <t>CY284023</t>
  </si>
  <si>
    <t>ICELTD</t>
  </si>
  <si>
    <t>Iceland Bondco PLC</t>
  </si>
  <si>
    <t>CY284679</t>
  </si>
  <si>
    <t>CY284823</t>
  </si>
  <si>
    <t>LOXAM</t>
  </si>
  <si>
    <t>Loxam SAS</t>
  </si>
  <si>
    <t>CY292791</t>
  </si>
  <si>
    <t>UNIT</t>
  </si>
  <si>
    <t>Uniti Group / CSL Capital</t>
  </si>
  <si>
    <t>CY316358</t>
  </si>
  <si>
    <t>IGT</t>
  </si>
  <si>
    <t>International Game Technology PLC</t>
  </si>
  <si>
    <t>CY316690</t>
  </si>
  <si>
    <t>TMUS</t>
  </si>
  <si>
    <t>T-Mobile USA Inc.</t>
  </si>
  <si>
    <t>CY325452</t>
  </si>
  <si>
    <t>ELISGP</t>
  </si>
  <si>
    <t>Elis SA</t>
  </si>
  <si>
    <t>CY325664</t>
  </si>
  <si>
    <t>ADT</t>
  </si>
  <si>
    <t>ADT Corp/The</t>
  </si>
  <si>
    <t>CY325820</t>
  </si>
  <si>
    <t>TDG</t>
  </si>
  <si>
    <t>TransDigm Group Inc</t>
  </si>
  <si>
    <t>CY325977</t>
  </si>
  <si>
    <t>ET</t>
  </si>
  <si>
    <t>Energy Transfer Equity LP</t>
  </si>
  <si>
    <t>CY333281</t>
  </si>
  <si>
    <t>LW</t>
  </si>
  <si>
    <t>Lamb Weston Holdings Inc</t>
  </si>
  <si>
    <t>CY340802</t>
  </si>
  <si>
    <t>CSTM</t>
  </si>
  <si>
    <t>Constellium NV</t>
  </si>
  <si>
    <t>CY340886</t>
  </si>
  <si>
    <t>CLNXSM</t>
  </si>
  <si>
    <t>Cellnex Telecom SA</t>
  </si>
  <si>
    <t>CY340970</t>
  </si>
  <si>
    <t>SPMIM</t>
  </si>
  <si>
    <t>Saipem SpA</t>
  </si>
  <si>
    <t>CY349126</t>
  </si>
  <si>
    <t>BACR</t>
  </si>
  <si>
    <t>Barclays PLC</t>
  </si>
  <si>
    <t>CY350672</t>
  </si>
  <si>
    <t>UBS</t>
  </si>
  <si>
    <t>UBS Group AG</t>
  </si>
  <si>
    <t>CY351353</t>
  </si>
  <si>
    <t>GRFSM</t>
  </si>
  <si>
    <t>Grifols SA</t>
  </si>
  <si>
    <t>CY351443</t>
  </si>
  <si>
    <t>INTRUM</t>
  </si>
  <si>
    <t>Intrum Justitia AB</t>
  </si>
  <si>
    <t>CY351623</t>
  </si>
  <si>
    <t>ADRBID</t>
  </si>
  <si>
    <t>United Group BV</t>
  </si>
  <si>
    <t>CY351713</t>
  </si>
  <si>
    <t>OI</t>
  </si>
  <si>
    <t>O-I Glass Inc</t>
  </si>
  <si>
    <t>CY355855</t>
  </si>
  <si>
    <t>CY355903</t>
  </si>
  <si>
    <t>CY360734</t>
  </si>
  <si>
    <t>CY362084</t>
  </si>
  <si>
    <t>CY362804</t>
  </si>
  <si>
    <t>CY370383</t>
  </si>
  <si>
    <t>ADLERR</t>
  </si>
  <si>
    <t>ADLER Real Estate AG</t>
  </si>
  <si>
    <t>CY370689</t>
  </si>
  <si>
    <t>DUFNSW</t>
  </si>
  <si>
    <t>Dufry AG</t>
  </si>
  <si>
    <t>CY370779</t>
  </si>
  <si>
    <t>STADAS</t>
  </si>
  <si>
    <t>Nidda Topco Sarl</t>
  </si>
  <si>
    <t>CY370869</t>
  </si>
  <si>
    <t>HEMABV</t>
  </si>
  <si>
    <t>Lion Capital LLP</t>
  </si>
  <si>
    <t>CY371049</t>
  </si>
  <si>
    <t>VERISR</t>
  </si>
  <si>
    <t>Verisure Midholding AB</t>
  </si>
  <si>
    <t>CY372412</t>
  </si>
  <si>
    <t>AMZN</t>
  </si>
  <si>
    <t>Amazon.com Inc</t>
  </si>
  <si>
    <t>CY384601</t>
  </si>
  <si>
    <t>CY384685</t>
  </si>
  <si>
    <t>CY399976</t>
  </si>
  <si>
    <t>VodafoneZiggo Group Holding BV</t>
  </si>
  <si>
    <t>CY419301</t>
  </si>
  <si>
    <t>EOFP</t>
  </si>
  <si>
    <t>Faurecia</t>
  </si>
  <si>
    <t>CY420291</t>
  </si>
  <si>
    <t>CY430095</t>
  </si>
  <si>
    <t>DIS</t>
  </si>
  <si>
    <t>Walt Disney Co/The</t>
  </si>
  <si>
    <t>CY444260</t>
  </si>
  <si>
    <t>BX</t>
  </si>
  <si>
    <t>Blackstone Group LP</t>
  </si>
  <si>
    <t>CY444362</t>
  </si>
  <si>
    <t>SHAEFF</t>
  </si>
  <si>
    <t>INA-Holding Schaeffler GmbH &amp; Co KG</t>
  </si>
  <si>
    <t>CY444756</t>
  </si>
  <si>
    <t>GEELZ</t>
  </si>
  <si>
    <t>Zhejiang Geely Holding Group Co Ltd</t>
  </si>
  <si>
    <t>CY444848</t>
  </si>
  <si>
    <t>NFLX</t>
  </si>
  <si>
    <t>Netflix Inc</t>
  </si>
  <si>
    <t>CY444950</t>
  </si>
  <si>
    <t>LMCA</t>
  </si>
  <si>
    <t>Liberty Media Corp</t>
  </si>
  <si>
    <t>CY457403</t>
  </si>
  <si>
    <t>OVV</t>
  </si>
  <si>
    <t>Ovintiv Inc</t>
  </si>
  <si>
    <t>CY459512</t>
  </si>
  <si>
    <t>AR</t>
  </si>
  <si>
    <t>Antero Resources Corp</t>
  </si>
  <si>
    <t>CY459633</t>
  </si>
  <si>
    <t>CY460646</t>
  </si>
  <si>
    <t>CLF</t>
  </si>
  <si>
    <t>Cliffs Natural Resources Inc</t>
  </si>
  <si>
    <t>CY469475</t>
  </si>
  <si>
    <t>UBIIM</t>
  </si>
  <si>
    <t>Unione di Banche Italiane SpA</t>
  </si>
  <si>
    <t>CY469555</t>
  </si>
  <si>
    <t>CY469635</t>
  </si>
  <si>
    <t>CY498153</t>
  </si>
  <si>
    <t>VST</t>
  </si>
  <si>
    <t>Vistra Energy Corp</t>
  </si>
  <si>
    <t>CY503508</t>
  </si>
  <si>
    <t>ASSDLN</t>
  </si>
  <si>
    <t>Bellis Acquisition Company PLC</t>
  </si>
  <si>
    <t>CY503525</t>
  </si>
  <si>
    <t>PPFGRO</t>
  </si>
  <si>
    <t>PPF Group NV</t>
  </si>
  <si>
    <t>CY503542</t>
  </si>
  <si>
    <t>ZFFNGR</t>
  </si>
  <si>
    <t>Zeppelin-Stiftung</t>
  </si>
  <si>
    <t>CY503576</t>
  </si>
  <si>
    <t>POST</t>
  </si>
  <si>
    <t>Post Holdings Inc</t>
  </si>
  <si>
    <t>CY503635</t>
  </si>
  <si>
    <t>EQT</t>
  </si>
  <si>
    <t>EQT Corp</t>
  </si>
  <si>
    <t>CY503681</t>
  </si>
  <si>
    <t>UNANA</t>
  </si>
  <si>
    <t>Unilever PLC</t>
  </si>
  <si>
    <t>CY503715</t>
  </si>
  <si>
    <t>THYELE</t>
  </si>
  <si>
    <t>Vertical Holdco GmbH</t>
  </si>
  <si>
    <t>CY504062</t>
  </si>
  <si>
    <t>CPIPGR</t>
  </si>
  <si>
    <t>CPI Property Group SA</t>
  </si>
  <si>
    <t>CY510291</t>
  </si>
  <si>
    <t>EGBLFN</t>
  </si>
  <si>
    <t>eG Global Finance PLC</t>
  </si>
  <si>
    <t>CY510308</t>
  </si>
  <si>
    <t>NEXIIM</t>
  </si>
  <si>
    <t>Nexi SpA</t>
  </si>
  <si>
    <t>CY510835</t>
  </si>
  <si>
    <t>UBER</t>
  </si>
  <si>
    <t>Uber Technologies Inc</t>
  </si>
  <si>
    <t>CY855229</t>
  </si>
  <si>
    <t>ILDFP</t>
  </si>
  <si>
    <t>Iliad Holding SAS</t>
  </si>
  <si>
    <t>CY855297</t>
  </si>
  <si>
    <t>LORCAT</t>
  </si>
  <si>
    <t>Kaixo Bondco Telecom SA</t>
  </si>
  <si>
    <t>CY855412</t>
  </si>
  <si>
    <t>ERI</t>
  </si>
  <si>
    <t>Caesars Entertainment Inc</t>
  </si>
  <si>
    <t>CY855452</t>
  </si>
  <si>
    <t>HLT</t>
  </si>
  <si>
    <t>Hilton</t>
  </si>
  <si>
    <t>CY855469</t>
  </si>
  <si>
    <t>FTR</t>
  </si>
  <si>
    <t>Frontier Communications Holdings LLC</t>
  </si>
  <si>
    <t>CY865616</t>
  </si>
  <si>
    <t>ENAPHO</t>
  </si>
  <si>
    <t>EP Infrastructure AS</t>
  </si>
  <si>
    <t>CY865633</t>
  </si>
  <si>
    <t>INWIM</t>
  </si>
  <si>
    <t>Infrastrutture Wireless Italiane SpA</t>
  </si>
  <si>
    <t>CY865948</t>
  </si>
  <si>
    <t>CY865997</t>
  </si>
  <si>
    <t>CVNA</t>
  </si>
  <si>
    <t>Carvana Co</t>
  </si>
  <si>
    <t>CY866031</t>
  </si>
  <si>
    <t>GFLCN</t>
  </si>
  <si>
    <t>GFL Environmental Inc.</t>
  </si>
  <si>
    <t>CY866065</t>
  </si>
  <si>
    <t>COMM</t>
  </si>
  <si>
    <t>CommScope Holding Co Inc</t>
  </si>
  <si>
    <t>CY876602</t>
  </si>
  <si>
    <t>CWCLN</t>
  </si>
  <si>
    <t>C&amp;W Senior Financing Designated Activity Co</t>
  </si>
  <si>
    <t>CY876619</t>
  </si>
  <si>
    <t>INEGRP</t>
  </si>
  <si>
    <t>INEOS Ltd</t>
  </si>
  <si>
    <t>CY876636</t>
  </si>
  <si>
    <t>NJJSAP</t>
  </si>
  <si>
    <t>NJJ Capital SASU</t>
  </si>
  <si>
    <t>CY876674</t>
  </si>
  <si>
    <t>MPW</t>
  </si>
  <si>
    <t>Medical Properties Trust Inc</t>
  </si>
  <si>
    <t>CY876759</t>
  </si>
  <si>
    <t>BMCAUS</t>
  </si>
  <si>
    <t>G Holdings Inc</t>
  </si>
  <si>
    <t>CY884122</t>
  </si>
  <si>
    <t>SAZKAG</t>
  </si>
  <si>
    <t>Allwyn Entertainment Financing UK PLC</t>
  </si>
  <si>
    <t>CY884139</t>
  </si>
  <si>
    <t>ATOFP</t>
  </si>
  <si>
    <t>Atos SE</t>
  </si>
  <si>
    <t>CY884156</t>
  </si>
  <si>
    <t>CHEPDE</t>
  </si>
  <si>
    <t>Cheplapharm Arzneimittel GmbH</t>
  </si>
  <si>
    <t>CY884173</t>
  </si>
  <si>
    <t>CITCON</t>
  </si>
  <si>
    <t>Citycon OYJ</t>
  </si>
  <si>
    <t>CY884190</t>
  </si>
  <si>
    <t>MERLLN</t>
  </si>
  <si>
    <t>Motion Finco Sarl</t>
  </si>
  <si>
    <t>CY884207</t>
  </si>
  <si>
    <t>SBBNOR</t>
  </si>
  <si>
    <t>Samhallsbyggnadsbolaget i Norden AB</t>
  </si>
  <si>
    <t>CY884224</t>
  </si>
  <si>
    <t>SALINI</t>
  </si>
  <si>
    <t>Salini Costruttori SpA</t>
  </si>
  <si>
    <t>CY884344</t>
  </si>
  <si>
    <t>CY884361</t>
  </si>
  <si>
    <t>MEDIND</t>
  </si>
  <si>
    <t>Mozart Borrower LP</t>
  </si>
  <si>
    <t>CY884395</t>
  </si>
  <si>
    <t>MRK</t>
  </si>
  <si>
    <t>Merck &amp; Co Inc</t>
  </si>
  <si>
    <t>CY884412</t>
  </si>
  <si>
    <t>HBGCN</t>
  </si>
  <si>
    <t>Hellman &amp; Friedman LLC</t>
  </si>
  <si>
    <t>CY884472</t>
  </si>
  <si>
    <t>NCLH</t>
  </si>
  <si>
    <t>Norwegian Cruise Line Holdings Ltd</t>
  </si>
  <si>
    <t>CY884673</t>
  </si>
  <si>
    <t>VENLNG</t>
  </si>
  <si>
    <t>Venture Global LNG Inc</t>
  </si>
  <si>
    <t>CY884690</t>
  </si>
  <si>
    <t>TIBX</t>
  </si>
  <si>
    <t>TIBCO Software Inc.</t>
  </si>
  <si>
    <t>CY906950</t>
  </si>
  <si>
    <t>CY907035</t>
  </si>
  <si>
    <t>AVGO</t>
  </si>
  <si>
    <t>Broadcom Inc</t>
  </si>
  <si>
    <t>CY907069</t>
  </si>
  <si>
    <t>GAMENT</t>
  </si>
  <si>
    <t>Apollo Global Management Inc</t>
  </si>
  <si>
    <t>CY907103</t>
  </si>
  <si>
    <t>ALIANT</t>
  </si>
  <si>
    <t>Alliant Holdings LP</t>
  </si>
  <si>
    <t>CY907120</t>
  </si>
  <si>
    <t>APO</t>
  </si>
  <si>
    <t>Apollo Global Management LLC</t>
  </si>
  <si>
    <t>CY907137</t>
  </si>
  <si>
    <t>BCEI</t>
  </si>
  <si>
    <t>Bonanza Creek Energy Inc</t>
  </si>
  <si>
    <t>CY907177</t>
  </si>
  <si>
    <t>Clear Channel Outdoor Holdings Inc</t>
  </si>
  <si>
    <t>CYUM1U5</t>
  </si>
  <si>
    <t>YUM</t>
  </si>
  <si>
    <t>Yum! Brands Inc</t>
  </si>
  <si>
    <t>CZ028487</t>
  </si>
  <si>
    <t>ETLFP</t>
  </si>
  <si>
    <t>Eutelsat Communications SA</t>
  </si>
  <si>
    <t>CZ028504</t>
  </si>
  <si>
    <t>CVC Capital Partners PLC</t>
  </si>
  <si>
    <t>CZ028521</t>
  </si>
  <si>
    <t>MLTIVR</t>
  </si>
  <si>
    <t>Pachelbel Bidco SpA</t>
  </si>
  <si>
    <t>CZ028555</t>
  </si>
  <si>
    <t>ZEGLN</t>
  </si>
  <si>
    <t>Zegona Communications plc</t>
  </si>
  <si>
    <t>CZ028572</t>
  </si>
  <si>
    <t>OPTICS</t>
  </si>
  <si>
    <t>Optics Bidco SpA</t>
  </si>
  <si>
    <t>CZ028589</t>
  </si>
  <si>
    <t>TITANL</t>
  </si>
  <si>
    <t>TeamSystem Holding SpA/Urbino</t>
  </si>
  <si>
    <t>CZ028657</t>
  </si>
  <si>
    <t>WMIH</t>
  </si>
  <si>
    <t>WMIH Corp</t>
  </si>
  <si>
    <t>CZ028674</t>
  </si>
  <si>
    <t>NFE</t>
  </si>
  <si>
    <t>New Fortress Energy Inc</t>
  </si>
  <si>
    <t>CZ029189</t>
  </si>
  <si>
    <t>CE</t>
  </si>
  <si>
    <t>Celanese Corp</t>
  </si>
  <si>
    <t>CZ029954</t>
  </si>
  <si>
    <t>CZ030735</t>
  </si>
  <si>
    <t>APA Corp</t>
  </si>
  <si>
    <t>CZ030837</t>
  </si>
  <si>
    <t>CZ032896</t>
  </si>
  <si>
    <t>DIETE</t>
  </si>
  <si>
    <t>D'ieteren Group</t>
  </si>
  <si>
    <t>CZ032913</t>
  </si>
  <si>
    <t>IMAIM</t>
  </si>
  <si>
    <t>Sofima Holding SPA</t>
  </si>
  <si>
    <t>CZ032930</t>
  </si>
  <si>
    <t>PGHNVX</t>
  </si>
  <si>
    <t>Partners Group Holding AG</t>
  </si>
  <si>
    <t>CZ032947</t>
  </si>
  <si>
    <t>ARWLN</t>
  </si>
  <si>
    <t>Arrow Global Finance PLC</t>
  </si>
  <si>
    <t>CZ032964</t>
  </si>
  <si>
    <t>KKR</t>
  </si>
  <si>
    <t>KKR &amp; Co LP</t>
  </si>
  <si>
    <t>CZ033214</t>
  </si>
  <si>
    <t>HILCRP</t>
  </si>
  <si>
    <t>Hilcorp Energy Co</t>
  </si>
  <si>
    <t>CZ037560</t>
  </si>
  <si>
    <t>CZ037577</t>
  </si>
  <si>
    <t>CZ037594</t>
  </si>
  <si>
    <t>CZUR1E5</t>
  </si>
  <si>
    <t>ZURNVX</t>
  </si>
  <si>
    <t>Zurich Insurance Group AG</t>
  </si>
  <si>
    <t>pricedate</t>
  </si>
  <si>
    <t>rolling_pnl</t>
  </si>
  <si>
    <t>net upfront</t>
  </si>
  <si>
    <t>rtn_outright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</si>
  <si>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</si>
  <si>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</si>
  <si>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</si>
  <si>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</si>
  <si>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</si>
  <si>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</si>
  <si>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</si>
  <si>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</si>
  <si>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</si>
  <si>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</si>
  <si>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</si>
  <si>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</si>
  <si>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</si>
  <si>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</si>
  <si>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</si>
  <si>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</si>
  <si>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</si>
  <si>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</si>
  <si>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</si>
  <si>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</si>
  <si>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</si>
  <si>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</si>
  <si>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</si>
  <si>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</si>
  <si>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</si>
  <si>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</si>
  <si>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</si>
  <si>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</si>
  <si>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</si>
  <si>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</si>
  <si>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</si>
  <si>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</si>
  <si>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</si>
  <si>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</si>
  <si>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</si>
  <si>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</si>
  <si>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</si>
  <si>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</si>
  <si>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</si>
  <si>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</si>
  <si>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</si>
  <si>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</si>
  <si>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</si>
  <si>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</si>
  <si>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</si>
  <si>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</si>
  <si>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</si>
  <si>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</si>
  <si>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</si>
  <si>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</si>
  <si>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</si>
  <si>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</si>
  <si>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</si>
  <si>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</si>
  <si>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</si>
  <si>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</si>
  <si>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</si>
  <si>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</si>
  <si>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</si>
  <si>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</si>
  <si>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</si>
  <si>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</si>
  <si>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</si>
  <si>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</si>
  <si>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</si>
  <si>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</si>
  <si>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</si>
  <si>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</si>
  <si>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</si>
  <si>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</si>
  <si>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</si>
  <si>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</si>
  <si>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</si>
  <si>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</si>
  <si>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</si>
  <si>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</si>
  <si>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</si>
  <si>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</si>
  <si>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</si>
  <si>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</si>
  <si>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</si>
  <si>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</si>
  <si>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</si>
  <si>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</si>
  <si>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</si>
  <si>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</si>
  <si>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</si>
  <si>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</si>
  <si>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</si>
  <si>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</si>
  <si>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</si>
  <si>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</si>
  <si>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</si>
  <si>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</si>
  <si>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</si>
  <si>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</si>
  <si>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</si>
  <si>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</si>
  <si>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</si>
  <si>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</si>
  <si>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</si>
  <si>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</si>
  <si>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</si>
  <si>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</si>
  <si>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</si>
  <si>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</si>
  <si>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</si>
  <si>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</si>
  <si>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</si>
  <si>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</si>
  <si>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</si>
  <si>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</si>
  <si>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</si>
  <si>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</si>
  <si>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</si>
  <si>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</si>
  <si>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</si>
  <si>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</si>
  <si>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</si>
  <si>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</si>
  <si>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</si>
  <si>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</si>
  <si>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</si>
  <si>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</si>
  <si>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</si>
  <si>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</si>
  <si>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</si>
  <si>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</si>
  <si>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</si>
  <si>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</si>
  <si>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</si>
  <si>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</si>
  <si>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</si>
  <si>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</si>
  <si>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</si>
  <si>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</si>
  <si>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</si>
  <si>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</si>
  <si>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</si>
  <si>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</si>
  <si>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</si>
  <si>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</si>
  <si>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</si>
  <si>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</si>
  <si>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</si>
  <si>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</si>
  <si>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</si>
  <si>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</si>
  <si>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</si>
  <si>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</si>
  <si>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</si>
  <si>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</si>
  <si>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</si>
  <si>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</si>
  <si>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</si>
  <si>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</si>
  <si>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</si>
  <si>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</si>
  <si>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</si>
  <si>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</si>
  <si>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</si>
  <si>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</si>
  <si>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</si>
  <si>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</si>
  <si>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</si>
  <si>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</si>
  <si>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</si>
  <si>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</si>
  <si>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</si>
  <si>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</si>
  <si>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</si>
  <si>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</si>
  <si>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</si>
  <si>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</si>
  <si>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</si>
  <si>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</si>
  <si>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</si>
  <si>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</si>
  <si>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</si>
  <si>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</si>
  <si>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</si>
  <si>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</si>
  <si>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</si>
  <si>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</si>
  <si>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</si>
  <si>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</si>
  <si>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</si>
  <si>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</si>
  <si>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</si>
  <si>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</si>
  <si>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</si>
  <si>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</si>
  <si>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</si>
  <si>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</si>
  <si>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</si>
  <si>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</si>
  <si>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</si>
  <si>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</si>
  <si>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ITRAXX MAIN 42 5Y</t>
  </si>
  <si>
    <t>ITRAXX XOVER 42 5Y</t>
  </si>
  <si>
    <t>CDX HY 43 5Y</t>
  </si>
  <si>
    <t>CDX IG 43 5Y</t>
  </si>
  <si>
    <t>ITRAXX FINS SUB 41 5Y</t>
  </si>
  <si>
    <t>CDX HY 44 5Y</t>
  </si>
  <si>
    <t>CDX HY 41 5Y</t>
  </si>
  <si>
    <t>ITRAXX XOVER 43 5Y</t>
  </si>
  <si>
    <t>ITRAXX MAIN 44 5Y</t>
  </si>
  <si>
    <t>CDX IG 41 5Y</t>
  </si>
  <si>
    <t>ITRAXX XOVER 40 5Y</t>
  </si>
  <si>
    <t>CDX HY 42 5Y</t>
  </si>
  <si>
    <t>CDX IG 45 5Y</t>
  </si>
  <si>
    <t>ITRAXX XOVER 44 5Y</t>
  </si>
  <si>
    <t>B/S 1</t>
  </si>
  <si>
    <t>B/S 2</t>
  </si>
  <si>
    <t>Sell</t>
  </si>
  <si>
    <t>Buy</t>
  </si>
  <si>
    <t>target reached</t>
  </si>
  <si>
    <t>current pnl</t>
  </si>
  <si>
    <t>target return pnl</t>
  </si>
  <si>
    <t>pnl to maturity</t>
  </si>
  <si>
    <t>pnl to maturity post defaults</t>
  </si>
  <si>
    <t>Target Return</t>
  </si>
  <si>
    <t>Trade #</t>
  </si>
  <si>
    <t>Duration Buckets (absolute CR01)</t>
  </si>
  <si>
    <t>carry (annual)</t>
  </si>
  <si>
    <t>expected default loss (annual)</t>
  </si>
  <si>
    <t>expected net carry return (annual)</t>
  </si>
  <si>
    <t>index hedge notional</t>
  </si>
  <si>
    <t>spread</t>
  </si>
  <si>
    <t>hedge carry (annual)</t>
  </si>
  <si>
    <t>Final Net Return (annual)</t>
  </si>
  <si>
    <t>PnL:</t>
  </si>
  <si>
    <t>PnL (If fully hedged):</t>
  </si>
  <si>
    <t>Date</t>
  </si>
  <si>
    <t>PX_LAST</t>
  </si>
  <si>
    <t>Trade</t>
  </si>
  <si>
    <t>Trade Selected</t>
  </si>
  <si>
    <t>Current PnL</t>
  </si>
  <si>
    <t>targ/total</t>
  </si>
  <si>
    <t>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</si>
</sst>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yyyy\-mm\-dd\ hh:mm:ss"/>
    <numFmt numFmtId="165" formatCode="_-* #,##0_-;\-* #,##0_-;_-* &quot;-&quot;??_-;_-@_-"/>
    <numFmt numFmtId="166" formatCode="[$-F800]dddd\,\ mmmm\ dd\,\ yyyy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7"/>
      <name val="Calibri"/>
      <family val="2"/>
    </font>
    <font>
      <sz val="7"/>
      <color theme="1"/>
      <name val="Calibri"/>
      <family val="2"/>
      <scheme val="minor"/>
    </font>
    <font>
      <i/>
      <sz val="8"/>
      <name val="Calibri"/>
      <family val="2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1" applyNumberFormat="1" applyFont="1"/>
    <xf numFmtId="166" fontId="0" fillId="0" borderId="0" xfId="0" applyNumberFormat="1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166" fontId="5" fillId="0" borderId="1" xfId="0" applyNumberFormat="1" applyFont="1" applyBorder="1"/>
    <xf numFmtId="165" fontId="5" fillId="0" borderId="1" xfId="1" applyNumberFormat="1" applyFont="1" applyBorder="1"/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165" fontId="7" fillId="0" borderId="1" xfId="1" applyNumberFormat="1" applyFont="1" applyFill="1" applyBorder="1"/>
    <xf numFmtId="0" fontId="8" fillId="0" borderId="0" xfId="0" applyFont="1"/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3" xfId="0" applyFont="1" applyBorder="1" applyAlignment="1">
      <alignment horizontal="center" vertical="center" wrapText="1"/>
    </xf>
    <xf numFmtId="0" fontId="8" fillId="0" borderId="1" xfId="0" applyFont="1" applyBorder="1"/>
    <xf numFmtId="165" fontId="8" fillId="0" borderId="1" xfId="1" applyNumberFormat="1" applyFont="1" applyBorder="1"/>
    <xf numFmtId="165" fontId="8" fillId="0" borderId="2" xfId="1" applyNumberFormat="1" applyFont="1" applyBorder="1"/>
    <xf numFmtId="165" fontId="8" fillId="0" borderId="4" xfId="1" applyNumberFormat="1" applyFont="1" applyBorder="1"/>
    <xf numFmtId="165" fontId="8" fillId="0" borderId="4" xfId="0" applyNumberFormat="1" applyFont="1" applyBorder="1"/>
    <xf numFmtId="0" fontId="8" fillId="0" borderId="5" xfId="0" applyFont="1" applyBorder="1"/>
    <xf numFmtId="0" fontId="10" fillId="0" borderId="6" xfId="0" applyFont="1" applyBorder="1" applyAlignment="1">
      <alignment horizontal="right"/>
    </xf>
    <xf numFmtId="165" fontId="10" fillId="0" borderId="7" xfId="0" applyNumberFormat="1" applyFont="1" applyBorder="1"/>
    <xf numFmtId="165" fontId="10" fillId="0" borderId="7" xfId="1" applyNumberFormat="1" applyFont="1" applyBorder="1"/>
    <xf numFmtId="14" fontId="0" fillId="0" borderId="0" xfId="0" applyNumberFormat="1"/>
    <xf numFmtId="165" fontId="1" fillId="0" borderId="1" xfId="1" applyNumberFormat="1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165" fontId="1" fillId="0" borderId="12" xfId="1" applyNumberFormat="1" applyFont="1" applyFill="1" applyBorder="1" applyAlignment="1">
      <alignment horizontal="center" vertical="top"/>
    </xf>
    <xf numFmtId="164" fontId="0" fillId="2" borderId="0" xfId="0" applyNumberFormat="1" applyFill="1"/>
    <xf numFmtId="0" fontId="0" fillId="2" borderId="0" xfId="0" applyFill="1"/>
    <xf numFmtId="165" fontId="0" fillId="2" borderId="0" xfId="1" applyNumberFormat="1" applyFont="1" applyFill="1"/>
    <xf numFmtId="0" fontId="7" fillId="0" borderId="2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Trade Dates</a:t>
            </a:r>
            <a:r>
              <a:rPr lang="en-GB" b="1" baseline="0"/>
              <a:t> Selected</a:t>
            </a:r>
            <a:endParaRPr lang="en-GB" b="1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Sheet2!$F$1</c:f>
              <c:strCache>
                <c:ptCount val="1"/>
                <c:pt idx="0">
                  <c:v>Trade Selected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Sheet2!$F$1:$F$198</c:f>
              <c:numCache>
                <c:formatCode>General</c:formatCode>
                <c:ptCount val="198"/>
                <c:pt idx="0">
                  <c:v>0</c:v>
                </c:pt>
                <c:pt idx="1">
                  <c:v>58.962000000000003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56.823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55.526000000000003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56.274999999999999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61.43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58.192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73.503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77.337000000000003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60.232999999999997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56.155999999999999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58.316000000000003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6E-4BF6-A803-55FB2BD03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0687008"/>
        <c:axId val="1550688448"/>
      </c:barChart>
      <c:lineChart>
        <c:grouping val="standard"/>
        <c:varyColors val="0"/>
        <c:ser>
          <c:idx val="0"/>
          <c:order val="0"/>
          <c:tx>
            <c:strRef>
              <c:f>Sheet2!$D$1</c:f>
              <c:strCache>
                <c:ptCount val="1"/>
                <c:pt idx="0">
                  <c:v>PX_LAST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Sheet2!$C$2:$C$198</c:f>
              <c:numCache>
                <c:formatCode>m/d/yyyy</c:formatCode>
                <c:ptCount val="197"/>
                <c:pt idx="0">
                  <c:v>45940</c:v>
                </c:pt>
                <c:pt idx="1">
                  <c:v>45939</c:v>
                </c:pt>
                <c:pt idx="2">
                  <c:v>45938</c:v>
                </c:pt>
                <c:pt idx="3">
                  <c:v>45937</c:v>
                </c:pt>
                <c:pt idx="4">
                  <c:v>45936</c:v>
                </c:pt>
                <c:pt idx="5">
                  <c:v>45933</c:v>
                </c:pt>
                <c:pt idx="6">
                  <c:v>45932</c:v>
                </c:pt>
                <c:pt idx="7">
                  <c:v>45931</c:v>
                </c:pt>
                <c:pt idx="8">
                  <c:v>45930</c:v>
                </c:pt>
                <c:pt idx="9">
                  <c:v>45929</c:v>
                </c:pt>
                <c:pt idx="10">
                  <c:v>45926</c:v>
                </c:pt>
                <c:pt idx="11">
                  <c:v>45925</c:v>
                </c:pt>
                <c:pt idx="12">
                  <c:v>45924</c:v>
                </c:pt>
                <c:pt idx="13">
                  <c:v>45923</c:v>
                </c:pt>
                <c:pt idx="14">
                  <c:v>45922</c:v>
                </c:pt>
                <c:pt idx="15">
                  <c:v>45919</c:v>
                </c:pt>
                <c:pt idx="16">
                  <c:v>45918</c:v>
                </c:pt>
                <c:pt idx="17">
                  <c:v>45917</c:v>
                </c:pt>
                <c:pt idx="18">
                  <c:v>45916</c:v>
                </c:pt>
                <c:pt idx="19">
                  <c:v>45915</c:v>
                </c:pt>
                <c:pt idx="20">
                  <c:v>45912</c:v>
                </c:pt>
                <c:pt idx="21">
                  <c:v>45911</c:v>
                </c:pt>
                <c:pt idx="22">
                  <c:v>45910</c:v>
                </c:pt>
                <c:pt idx="23">
                  <c:v>45909</c:v>
                </c:pt>
                <c:pt idx="24">
                  <c:v>45908</c:v>
                </c:pt>
                <c:pt idx="25">
                  <c:v>45905</c:v>
                </c:pt>
                <c:pt idx="26">
                  <c:v>45904</c:v>
                </c:pt>
                <c:pt idx="27">
                  <c:v>45903</c:v>
                </c:pt>
                <c:pt idx="28">
                  <c:v>45902</c:v>
                </c:pt>
                <c:pt idx="29">
                  <c:v>45901</c:v>
                </c:pt>
                <c:pt idx="30">
                  <c:v>45898</c:v>
                </c:pt>
                <c:pt idx="31">
                  <c:v>45897</c:v>
                </c:pt>
                <c:pt idx="32">
                  <c:v>45896</c:v>
                </c:pt>
                <c:pt idx="33">
                  <c:v>45895</c:v>
                </c:pt>
                <c:pt idx="34">
                  <c:v>45891</c:v>
                </c:pt>
                <c:pt idx="35">
                  <c:v>45890</c:v>
                </c:pt>
                <c:pt idx="36">
                  <c:v>45889</c:v>
                </c:pt>
                <c:pt idx="37">
                  <c:v>45888</c:v>
                </c:pt>
                <c:pt idx="38">
                  <c:v>45887</c:v>
                </c:pt>
                <c:pt idx="39">
                  <c:v>45884</c:v>
                </c:pt>
                <c:pt idx="40">
                  <c:v>45883</c:v>
                </c:pt>
                <c:pt idx="41">
                  <c:v>45882</c:v>
                </c:pt>
                <c:pt idx="42">
                  <c:v>45881</c:v>
                </c:pt>
                <c:pt idx="43">
                  <c:v>45880</c:v>
                </c:pt>
                <c:pt idx="44">
                  <c:v>45877</c:v>
                </c:pt>
                <c:pt idx="45">
                  <c:v>45876</c:v>
                </c:pt>
                <c:pt idx="46">
                  <c:v>45875</c:v>
                </c:pt>
                <c:pt idx="47">
                  <c:v>45874</c:v>
                </c:pt>
                <c:pt idx="48">
                  <c:v>45873</c:v>
                </c:pt>
                <c:pt idx="49">
                  <c:v>45870</c:v>
                </c:pt>
                <c:pt idx="50">
                  <c:v>45869</c:v>
                </c:pt>
                <c:pt idx="51">
                  <c:v>45868</c:v>
                </c:pt>
                <c:pt idx="52">
                  <c:v>45867</c:v>
                </c:pt>
                <c:pt idx="53">
                  <c:v>45866</c:v>
                </c:pt>
                <c:pt idx="54">
                  <c:v>45863</c:v>
                </c:pt>
                <c:pt idx="55">
                  <c:v>45862</c:v>
                </c:pt>
                <c:pt idx="56">
                  <c:v>45861</c:v>
                </c:pt>
                <c:pt idx="57">
                  <c:v>45860</c:v>
                </c:pt>
                <c:pt idx="58">
                  <c:v>45859</c:v>
                </c:pt>
                <c:pt idx="59">
                  <c:v>45856</c:v>
                </c:pt>
                <c:pt idx="60">
                  <c:v>45855</c:v>
                </c:pt>
                <c:pt idx="61">
                  <c:v>45854</c:v>
                </c:pt>
                <c:pt idx="62">
                  <c:v>45853</c:v>
                </c:pt>
                <c:pt idx="63">
                  <c:v>45852</c:v>
                </c:pt>
                <c:pt idx="64">
                  <c:v>45849</c:v>
                </c:pt>
                <c:pt idx="65">
                  <c:v>45848</c:v>
                </c:pt>
                <c:pt idx="66">
                  <c:v>45847</c:v>
                </c:pt>
                <c:pt idx="67">
                  <c:v>45846</c:v>
                </c:pt>
                <c:pt idx="68">
                  <c:v>45845</c:v>
                </c:pt>
                <c:pt idx="69">
                  <c:v>45842</c:v>
                </c:pt>
                <c:pt idx="70">
                  <c:v>45841</c:v>
                </c:pt>
                <c:pt idx="71">
                  <c:v>45840</c:v>
                </c:pt>
                <c:pt idx="72">
                  <c:v>45839</c:v>
                </c:pt>
                <c:pt idx="73">
                  <c:v>45838</c:v>
                </c:pt>
                <c:pt idx="74">
                  <c:v>45835</c:v>
                </c:pt>
                <c:pt idx="75">
                  <c:v>45834</c:v>
                </c:pt>
                <c:pt idx="76">
                  <c:v>45833</c:v>
                </c:pt>
                <c:pt idx="77">
                  <c:v>45832</c:v>
                </c:pt>
                <c:pt idx="78">
                  <c:v>45831</c:v>
                </c:pt>
                <c:pt idx="79">
                  <c:v>45828</c:v>
                </c:pt>
                <c:pt idx="80">
                  <c:v>45827</c:v>
                </c:pt>
                <c:pt idx="81">
                  <c:v>45826</c:v>
                </c:pt>
                <c:pt idx="82">
                  <c:v>45825</c:v>
                </c:pt>
                <c:pt idx="83">
                  <c:v>45824</c:v>
                </c:pt>
                <c:pt idx="84">
                  <c:v>45821</c:v>
                </c:pt>
                <c:pt idx="85">
                  <c:v>45820</c:v>
                </c:pt>
                <c:pt idx="86">
                  <c:v>45819</c:v>
                </c:pt>
                <c:pt idx="87">
                  <c:v>45818</c:v>
                </c:pt>
                <c:pt idx="88">
                  <c:v>45817</c:v>
                </c:pt>
                <c:pt idx="89">
                  <c:v>45814</c:v>
                </c:pt>
                <c:pt idx="90">
                  <c:v>45813</c:v>
                </c:pt>
                <c:pt idx="91">
                  <c:v>45812</c:v>
                </c:pt>
                <c:pt idx="92">
                  <c:v>45811</c:v>
                </c:pt>
                <c:pt idx="93">
                  <c:v>45810</c:v>
                </c:pt>
                <c:pt idx="94">
                  <c:v>45807</c:v>
                </c:pt>
                <c:pt idx="95">
                  <c:v>45806</c:v>
                </c:pt>
                <c:pt idx="96">
                  <c:v>45805</c:v>
                </c:pt>
                <c:pt idx="97">
                  <c:v>45804</c:v>
                </c:pt>
                <c:pt idx="98">
                  <c:v>45800</c:v>
                </c:pt>
                <c:pt idx="99">
                  <c:v>45799</c:v>
                </c:pt>
                <c:pt idx="100">
                  <c:v>45798</c:v>
                </c:pt>
                <c:pt idx="101">
                  <c:v>45797</c:v>
                </c:pt>
                <c:pt idx="102">
                  <c:v>45796</c:v>
                </c:pt>
                <c:pt idx="103">
                  <c:v>45793</c:v>
                </c:pt>
                <c:pt idx="104">
                  <c:v>45792</c:v>
                </c:pt>
                <c:pt idx="105">
                  <c:v>45791</c:v>
                </c:pt>
                <c:pt idx="106">
                  <c:v>45790</c:v>
                </c:pt>
                <c:pt idx="107">
                  <c:v>45789</c:v>
                </c:pt>
                <c:pt idx="108">
                  <c:v>45786</c:v>
                </c:pt>
                <c:pt idx="109">
                  <c:v>45785</c:v>
                </c:pt>
                <c:pt idx="110">
                  <c:v>45784</c:v>
                </c:pt>
                <c:pt idx="111">
                  <c:v>45783</c:v>
                </c:pt>
                <c:pt idx="112">
                  <c:v>45779</c:v>
                </c:pt>
                <c:pt idx="113">
                  <c:v>45778</c:v>
                </c:pt>
                <c:pt idx="114">
                  <c:v>45777</c:v>
                </c:pt>
                <c:pt idx="115">
                  <c:v>45776</c:v>
                </c:pt>
                <c:pt idx="116">
                  <c:v>45775</c:v>
                </c:pt>
                <c:pt idx="117">
                  <c:v>45772</c:v>
                </c:pt>
                <c:pt idx="118">
                  <c:v>45771</c:v>
                </c:pt>
                <c:pt idx="119">
                  <c:v>45770</c:v>
                </c:pt>
                <c:pt idx="120">
                  <c:v>45769</c:v>
                </c:pt>
                <c:pt idx="121">
                  <c:v>45764</c:v>
                </c:pt>
                <c:pt idx="122">
                  <c:v>45763</c:v>
                </c:pt>
                <c:pt idx="123">
                  <c:v>45762</c:v>
                </c:pt>
                <c:pt idx="124">
                  <c:v>45761</c:v>
                </c:pt>
                <c:pt idx="125">
                  <c:v>45758</c:v>
                </c:pt>
                <c:pt idx="126">
                  <c:v>45757</c:v>
                </c:pt>
                <c:pt idx="127">
                  <c:v>45756</c:v>
                </c:pt>
                <c:pt idx="128">
                  <c:v>45755</c:v>
                </c:pt>
                <c:pt idx="129">
                  <c:v>45754</c:v>
                </c:pt>
                <c:pt idx="130">
                  <c:v>45751</c:v>
                </c:pt>
                <c:pt idx="131">
                  <c:v>45750</c:v>
                </c:pt>
                <c:pt idx="132">
                  <c:v>45749</c:v>
                </c:pt>
                <c:pt idx="133">
                  <c:v>45748</c:v>
                </c:pt>
                <c:pt idx="134">
                  <c:v>45747</c:v>
                </c:pt>
                <c:pt idx="135">
                  <c:v>45744</c:v>
                </c:pt>
                <c:pt idx="136">
                  <c:v>45743</c:v>
                </c:pt>
                <c:pt idx="137">
                  <c:v>45742</c:v>
                </c:pt>
                <c:pt idx="138">
                  <c:v>45741</c:v>
                </c:pt>
                <c:pt idx="139">
                  <c:v>45740</c:v>
                </c:pt>
                <c:pt idx="140">
                  <c:v>45737</c:v>
                </c:pt>
                <c:pt idx="141">
                  <c:v>45736</c:v>
                </c:pt>
                <c:pt idx="142">
                  <c:v>45735</c:v>
                </c:pt>
                <c:pt idx="143">
                  <c:v>45734</c:v>
                </c:pt>
                <c:pt idx="144">
                  <c:v>45733</c:v>
                </c:pt>
                <c:pt idx="145">
                  <c:v>45730</c:v>
                </c:pt>
                <c:pt idx="146">
                  <c:v>45729</c:v>
                </c:pt>
                <c:pt idx="147">
                  <c:v>45728</c:v>
                </c:pt>
                <c:pt idx="148">
                  <c:v>45727</c:v>
                </c:pt>
                <c:pt idx="149">
                  <c:v>45726</c:v>
                </c:pt>
                <c:pt idx="150">
                  <c:v>45723</c:v>
                </c:pt>
                <c:pt idx="151">
                  <c:v>45722</c:v>
                </c:pt>
                <c:pt idx="152">
                  <c:v>45721</c:v>
                </c:pt>
                <c:pt idx="153">
                  <c:v>45720</c:v>
                </c:pt>
                <c:pt idx="154">
                  <c:v>45719</c:v>
                </c:pt>
                <c:pt idx="155">
                  <c:v>45716</c:v>
                </c:pt>
                <c:pt idx="156">
                  <c:v>45715</c:v>
                </c:pt>
                <c:pt idx="157">
                  <c:v>45714</c:v>
                </c:pt>
                <c:pt idx="158">
                  <c:v>45713</c:v>
                </c:pt>
                <c:pt idx="159">
                  <c:v>45712</c:v>
                </c:pt>
                <c:pt idx="160">
                  <c:v>45709</c:v>
                </c:pt>
                <c:pt idx="161">
                  <c:v>45708</c:v>
                </c:pt>
                <c:pt idx="162">
                  <c:v>45707</c:v>
                </c:pt>
                <c:pt idx="163">
                  <c:v>45706</c:v>
                </c:pt>
                <c:pt idx="164">
                  <c:v>45705</c:v>
                </c:pt>
                <c:pt idx="165">
                  <c:v>45702</c:v>
                </c:pt>
                <c:pt idx="166">
                  <c:v>45701</c:v>
                </c:pt>
                <c:pt idx="167">
                  <c:v>45700</c:v>
                </c:pt>
                <c:pt idx="168">
                  <c:v>45699</c:v>
                </c:pt>
                <c:pt idx="169">
                  <c:v>45698</c:v>
                </c:pt>
                <c:pt idx="170">
                  <c:v>45695</c:v>
                </c:pt>
                <c:pt idx="171">
                  <c:v>45694</c:v>
                </c:pt>
                <c:pt idx="172">
                  <c:v>45693</c:v>
                </c:pt>
                <c:pt idx="173">
                  <c:v>45692</c:v>
                </c:pt>
                <c:pt idx="174">
                  <c:v>45691</c:v>
                </c:pt>
                <c:pt idx="175">
                  <c:v>45688</c:v>
                </c:pt>
                <c:pt idx="176">
                  <c:v>45687</c:v>
                </c:pt>
                <c:pt idx="177">
                  <c:v>45686</c:v>
                </c:pt>
                <c:pt idx="178">
                  <c:v>45685</c:v>
                </c:pt>
                <c:pt idx="179">
                  <c:v>45684</c:v>
                </c:pt>
                <c:pt idx="180">
                  <c:v>45681</c:v>
                </c:pt>
                <c:pt idx="181">
                  <c:v>45680</c:v>
                </c:pt>
                <c:pt idx="182">
                  <c:v>45679</c:v>
                </c:pt>
                <c:pt idx="183">
                  <c:v>45678</c:v>
                </c:pt>
                <c:pt idx="184">
                  <c:v>45677</c:v>
                </c:pt>
                <c:pt idx="185">
                  <c:v>45674</c:v>
                </c:pt>
                <c:pt idx="186">
                  <c:v>45673</c:v>
                </c:pt>
                <c:pt idx="187">
                  <c:v>45672</c:v>
                </c:pt>
                <c:pt idx="188">
                  <c:v>45671</c:v>
                </c:pt>
                <c:pt idx="189">
                  <c:v>45670</c:v>
                </c:pt>
                <c:pt idx="190">
                  <c:v>45667</c:v>
                </c:pt>
                <c:pt idx="191">
                  <c:v>45666</c:v>
                </c:pt>
                <c:pt idx="192">
                  <c:v>45665</c:v>
                </c:pt>
                <c:pt idx="193">
                  <c:v>45664</c:v>
                </c:pt>
                <c:pt idx="194">
                  <c:v>45663</c:v>
                </c:pt>
                <c:pt idx="195">
                  <c:v>45660</c:v>
                </c:pt>
                <c:pt idx="196">
                  <c:v>45659</c:v>
                </c:pt>
              </c:numCache>
            </c:numRef>
          </c:cat>
          <c:val>
            <c:numRef>
              <c:f>Sheet2!$D$2:$D$198</c:f>
              <c:numCache>
                <c:formatCode>General</c:formatCode>
                <c:ptCount val="197"/>
                <c:pt idx="0">
                  <c:v>58.962000000000003</c:v>
                </c:pt>
                <c:pt idx="1">
                  <c:v>56.972000000000001</c:v>
                </c:pt>
                <c:pt idx="2">
                  <c:v>56.034999999999997</c:v>
                </c:pt>
                <c:pt idx="3">
                  <c:v>56.481000000000002</c:v>
                </c:pt>
                <c:pt idx="4">
                  <c:v>55.719000000000001</c:v>
                </c:pt>
                <c:pt idx="5">
                  <c:v>54.923000000000002</c:v>
                </c:pt>
                <c:pt idx="6">
                  <c:v>54.854999999999997</c:v>
                </c:pt>
                <c:pt idx="7">
                  <c:v>55.332999999999998</c:v>
                </c:pt>
                <c:pt idx="8">
                  <c:v>55.984999999999999</c:v>
                </c:pt>
                <c:pt idx="9">
                  <c:v>55.997999999999998</c:v>
                </c:pt>
                <c:pt idx="10">
                  <c:v>56.4</c:v>
                </c:pt>
                <c:pt idx="11">
                  <c:v>56.823</c:v>
                </c:pt>
                <c:pt idx="12">
                  <c:v>56.045000000000002</c:v>
                </c:pt>
                <c:pt idx="13">
                  <c:v>55.554000000000002</c:v>
                </c:pt>
                <c:pt idx="14">
                  <c:v>56.058</c:v>
                </c:pt>
                <c:pt idx="15">
                  <c:v>50.316000000000003</c:v>
                </c:pt>
                <c:pt idx="16">
                  <c:v>50.07</c:v>
                </c:pt>
                <c:pt idx="17">
                  <c:v>50.744</c:v>
                </c:pt>
                <c:pt idx="18">
                  <c:v>50.856000000000002</c:v>
                </c:pt>
                <c:pt idx="19">
                  <c:v>50.040999999999997</c:v>
                </c:pt>
                <c:pt idx="20">
                  <c:v>50.905999999999999</c:v>
                </c:pt>
                <c:pt idx="21">
                  <c:v>50.987000000000002</c:v>
                </c:pt>
                <c:pt idx="22">
                  <c:v>52.491</c:v>
                </c:pt>
                <c:pt idx="23">
                  <c:v>53</c:v>
                </c:pt>
                <c:pt idx="24">
                  <c:v>53.210999999999999</c:v>
                </c:pt>
                <c:pt idx="25">
                  <c:v>53.905000000000001</c:v>
                </c:pt>
                <c:pt idx="26">
                  <c:v>53.954000000000001</c:v>
                </c:pt>
                <c:pt idx="27">
                  <c:v>55.280999999999999</c:v>
                </c:pt>
                <c:pt idx="28">
                  <c:v>56.948999999999998</c:v>
                </c:pt>
                <c:pt idx="29">
                  <c:v>55.526000000000003</c:v>
                </c:pt>
                <c:pt idx="30">
                  <c:v>55.5</c:v>
                </c:pt>
                <c:pt idx="31">
                  <c:v>54.360999999999997</c:v>
                </c:pt>
                <c:pt idx="32">
                  <c:v>54.905000000000001</c:v>
                </c:pt>
                <c:pt idx="33">
                  <c:v>53.027000000000001</c:v>
                </c:pt>
                <c:pt idx="34">
                  <c:v>51.430999999999997</c:v>
                </c:pt>
                <c:pt idx="35">
                  <c:v>53.082999999999998</c:v>
                </c:pt>
                <c:pt idx="36">
                  <c:v>52.372999999999998</c:v>
                </c:pt>
                <c:pt idx="37">
                  <c:v>51.503999999999998</c:v>
                </c:pt>
                <c:pt idx="38">
                  <c:v>51.526000000000003</c:v>
                </c:pt>
                <c:pt idx="39">
                  <c:v>51.594999999999999</c:v>
                </c:pt>
                <c:pt idx="40">
                  <c:v>51.798000000000002</c:v>
                </c:pt>
                <c:pt idx="41">
                  <c:v>51.792999999999999</c:v>
                </c:pt>
                <c:pt idx="42">
                  <c:v>52.584000000000003</c:v>
                </c:pt>
                <c:pt idx="43">
                  <c:v>53.359000000000002</c:v>
                </c:pt>
                <c:pt idx="44">
                  <c:v>53.335000000000001</c:v>
                </c:pt>
                <c:pt idx="45">
                  <c:v>54.295999999999999</c:v>
                </c:pt>
                <c:pt idx="46">
                  <c:v>55.249000000000002</c:v>
                </c:pt>
                <c:pt idx="47">
                  <c:v>55.704000000000001</c:v>
                </c:pt>
                <c:pt idx="48">
                  <c:v>55.597000000000001</c:v>
                </c:pt>
                <c:pt idx="49">
                  <c:v>56.274999999999999</c:v>
                </c:pt>
                <c:pt idx="50">
                  <c:v>53.648000000000003</c:v>
                </c:pt>
                <c:pt idx="51">
                  <c:v>52.863</c:v>
                </c:pt>
                <c:pt idx="52">
                  <c:v>52.62</c:v>
                </c:pt>
                <c:pt idx="53">
                  <c:v>53.137</c:v>
                </c:pt>
                <c:pt idx="54">
                  <c:v>52.845999999999997</c:v>
                </c:pt>
                <c:pt idx="55">
                  <c:v>53.042999999999999</c:v>
                </c:pt>
                <c:pt idx="56">
                  <c:v>53.115000000000002</c:v>
                </c:pt>
                <c:pt idx="57">
                  <c:v>54.531999999999996</c:v>
                </c:pt>
                <c:pt idx="58">
                  <c:v>53.965000000000003</c:v>
                </c:pt>
                <c:pt idx="59">
                  <c:v>53.832000000000001</c:v>
                </c:pt>
                <c:pt idx="60">
                  <c:v>54.213000000000001</c:v>
                </c:pt>
                <c:pt idx="61">
                  <c:v>55.631</c:v>
                </c:pt>
                <c:pt idx="62">
                  <c:v>55.072000000000003</c:v>
                </c:pt>
                <c:pt idx="63">
                  <c:v>54.639000000000003</c:v>
                </c:pt>
                <c:pt idx="64">
                  <c:v>54.253</c:v>
                </c:pt>
                <c:pt idx="65">
                  <c:v>53.298999999999999</c:v>
                </c:pt>
                <c:pt idx="66">
                  <c:v>53.478000000000002</c:v>
                </c:pt>
                <c:pt idx="67">
                  <c:v>53.932000000000002</c:v>
                </c:pt>
                <c:pt idx="68">
                  <c:v>53.845999999999997</c:v>
                </c:pt>
                <c:pt idx="69">
                  <c:v>54.831000000000003</c:v>
                </c:pt>
                <c:pt idx="70">
                  <c:v>53.003999999999998</c:v>
                </c:pt>
                <c:pt idx="71">
                  <c:v>54.247</c:v>
                </c:pt>
                <c:pt idx="72">
                  <c:v>54.271000000000001</c:v>
                </c:pt>
                <c:pt idx="73">
                  <c:v>54.506</c:v>
                </c:pt>
                <c:pt idx="74">
                  <c:v>54.7</c:v>
                </c:pt>
                <c:pt idx="75">
                  <c:v>56.137999999999998</c:v>
                </c:pt>
                <c:pt idx="76">
                  <c:v>56.591999999999999</c:v>
                </c:pt>
                <c:pt idx="77">
                  <c:v>56.253999999999998</c:v>
                </c:pt>
                <c:pt idx="78">
                  <c:v>59.88</c:v>
                </c:pt>
                <c:pt idx="79">
                  <c:v>59.218000000000004</c:v>
                </c:pt>
                <c:pt idx="80">
                  <c:v>61.43</c:v>
                </c:pt>
                <c:pt idx="81">
                  <c:v>58.506999999999998</c:v>
                </c:pt>
                <c:pt idx="82">
                  <c:v>57.69</c:v>
                </c:pt>
                <c:pt idx="83">
                  <c:v>56.100999999999999</c:v>
                </c:pt>
                <c:pt idx="84">
                  <c:v>57.594999999999999</c:v>
                </c:pt>
                <c:pt idx="85">
                  <c:v>56.261000000000003</c:v>
                </c:pt>
                <c:pt idx="86">
                  <c:v>54.691000000000003</c:v>
                </c:pt>
                <c:pt idx="87">
                  <c:v>55.305</c:v>
                </c:pt>
                <c:pt idx="88">
                  <c:v>55.6</c:v>
                </c:pt>
                <c:pt idx="89">
                  <c:v>55.598999999999997</c:v>
                </c:pt>
                <c:pt idx="90">
                  <c:v>56.225999999999999</c:v>
                </c:pt>
                <c:pt idx="91">
                  <c:v>56.615000000000002</c:v>
                </c:pt>
                <c:pt idx="92">
                  <c:v>56.801000000000002</c:v>
                </c:pt>
                <c:pt idx="93">
                  <c:v>57.773000000000003</c:v>
                </c:pt>
                <c:pt idx="94">
                  <c:v>57.783999999999999</c:v>
                </c:pt>
                <c:pt idx="95">
                  <c:v>57.710999999999999</c:v>
                </c:pt>
                <c:pt idx="96">
                  <c:v>57.828000000000003</c:v>
                </c:pt>
                <c:pt idx="97">
                  <c:v>57.72</c:v>
                </c:pt>
                <c:pt idx="98">
                  <c:v>61.015000000000001</c:v>
                </c:pt>
                <c:pt idx="99">
                  <c:v>58.192</c:v>
                </c:pt>
                <c:pt idx="100">
                  <c:v>56.975999999999999</c:v>
                </c:pt>
                <c:pt idx="101">
                  <c:v>56.456000000000003</c:v>
                </c:pt>
                <c:pt idx="102">
                  <c:v>57.064999999999998</c:v>
                </c:pt>
                <c:pt idx="103">
                  <c:v>57.341999999999999</c:v>
                </c:pt>
                <c:pt idx="104">
                  <c:v>56.901000000000003</c:v>
                </c:pt>
                <c:pt idx="105">
                  <c:v>56.732999999999997</c:v>
                </c:pt>
                <c:pt idx="106">
                  <c:v>55.704999999999998</c:v>
                </c:pt>
                <c:pt idx="107">
                  <c:v>58.100999999999999</c:v>
                </c:pt>
                <c:pt idx="108">
                  <c:v>61.392000000000003</c:v>
                </c:pt>
                <c:pt idx="109">
                  <c:v>61.637</c:v>
                </c:pt>
                <c:pt idx="110">
                  <c:v>63.927999999999997</c:v>
                </c:pt>
                <c:pt idx="111">
                  <c:v>64.156000000000006</c:v>
                </c:pt>
                <c:pt idx="112">
                  <c:v>64.915000000000006</c:v>
                </c:pt>
                <c:pt idx="113">
                  <c:v>66.713999999999999</c:v>
                </c:pt>
                <c:pt idx="114">
                  <c:v>68.236999999999995</c:v>
                </c:pt>
                <c:pt idx="115">
                  <c:v>66.606999999999999</c:v>
                </c:pt>
                <c:pt idx="116">
                  <c:v>66.117000000000004</c:v>
                </c:pt>
                <c:pt idx="117">
                  <c:v>65.930999999999997</c:v>
                </c:pt>
                <c:pt idx="118">
                  <c:v>67.007000000000005</c:v>
                </c:pt>
                <c:pt idx="119">
                  <c:v>68.599999999999994</c:v>
                </c:pt>
                <c:pt idx="120">
                  <c:v>71.143000000000001</c:v>
                </c:pt>
                <c:pt idx="121">
                  <c:v>71.841999999999999</c:v>
                </c:pt>
                <c:pt idx="122">
                  <c:v>71.765000000000001</c:v>
                </c:pt>
                <c:pt idx="123">
                  <c:v>71.760999999999996</c:v>
                </c:pt>
                <c:pt idx="124">
                  <c:v>73.503</c:v>
                </c:pt>
                <c:pt idx="125">
                  <c:v>76.881</c:v>
                </c:pt>
                <c:pt idx="126">
                  <c:v>77.715000000000003</c:v>
                </c:pt>
                <c:pt idx="127">
                  <c:v>85.346000000000004</c:v>
                </c:pt>
                <c:pt idx="128">
                  <c:v>77.337000000000003</c:v>
                </c:pt>
                <c:pt idx="129">
                  <c:v>79.796999999999997</c:v>
                </c:pt>
                <c:pt idx="130">
                  <c:v>77.266999999999996</c:v>
                </c:pt>
                <c:pt idx="131">
                  <c:v>68.501000000000005</c:v>
                </c:pt>
                <c:pt idx="132">
                  <c:v>63.631</c:v>
                </c:pt>
                <c:pt idx="133">
                  <c:v>63.209000000000003</c:v>
                </c:pt>
                <c:pt idx="134">
                  <c:v>63.634</c:v>
                </c:pt>
                <c:pt idx="135">
                  <c:v>62.189</c:v>
                </c:pt>
                <c:pt idx="136">
                  <c:v>61.000999999999998</c:v>
                </c:pt>
                <c:pt idx="137">
                  <c:v>59.040999999999997</c:v>
                </c:pt>
                <c:pt idx="138">
                  <c:v>57.524000000000001</c:v>
                </c:pt>
                <c:pt idx="139">
                  <c:v>58.360999999999997</c:v>
                </c:pt>
                <c:pt idx="140">
                  <c:v>60.232999999999997</c:v>
                </c:pt>
                <c:pt idx="141">
                  <c:v>58.676000000000002</c:v>
                </c:pt>
                <c:pt idx="142">
                  <c:v>54.978999999999999</c:v>
                </c:pt>
                <c:pt idx="143">
                  <c:v>55.857999999999997</c:v>
                </c:pt>
                <c:pt idx="144">
                  <c:v>56.180999999999997</c:v>
                </c:pt>
                <c:pt idx="145">
                  <c:v>57.101999999999997</c:v>
                </c:pt>
                <c:pt idx="146">
                  <c:v>58.759</c:v>
                </c:pt>
                <c:pt idx="147">
                  <c:v>56.414000000000001</c:v>
                </c:pt>
                <c:pt idx="148">
                  <c:v>57.482999999999997</c:v>
                </c:pt>
                <c:pt idx="149">
                  <c:v>56.155999999999999</c:v>
                </c:pt>
                <c:pt idx="150">
                  <c:v>54.976999999999997</c:v>
                </c:pt>
                <c:pt idx="151">
                  <c:v>54.402000000000001</c:v>
                </c:pt>
                <c:pt idx="152">
                  <c:v>53.594999999999999</c:v>
                </c:pt>
                <c:pt idx="153">
                  <c:v>54.771000000000001</c:v>
                </c:pt>
                <c:pt idx="154">
                  <c:v>53.174999999999997</c:v>
                </c:pt>
                <c:pt idx="155">
                  <c:v>53.749000000000002</c:v>
                </c:pt>
                <c:pt idx="156">
                  <c:v>53.261000000000003</c:v>
                </c:pt>
                <c:pt idx="157">
                  <c:v>51.893999999999998</c:v>
                </c:pt>
                <c:pt idx="158">
                  <c:v>53.095999999999997</c:v>
                </c:pt>
                <c:pt idx="159">
                  <c:v>52.776000000000003</c:v>
                </c:pt>
                <c:pt idx="160">
                  <c:v>52.249000000000002</c:v>
                </c:pt>
                <c:pt idx="161">
                  <c:v>52.268000000000001</c:v>
                </c:pt>
                <c:pt idx="162">
                  <c:v>51.786999999999999</c:v>
                </c:pt>
                <c:pt idx="163">
                  <c:v>50.881</c:v>
                </c:pt>
                <c:pt idx="164">
                  <c:v>51.213000000000001</c:v>
                </c:pt>
                <c:pt idx="165">
                  <c:v>51.192</c:v>
                </c:pt>
                <c:pt idx="166">
                  <c:v>51.625</c:v>
                </c:pt>
                <c:pt idx="167">
                  <c:v>52.58</c:v>
                </c:pt>
                <c:pt idx="168">
                  <c:v>53.128</c:v>
                </c:pt>
                <c:pt idx="169">
                  <c:v>53.110999999999997</c:v>
                </c:pt>
                <c:pt idx="170">
                  <c:v>53.933</c:v>
                </c:pt>
                <c:pt idx="171">
                  <c:v>52.73</c:v>
                </c:pt>
                <c:pt idx="172">
                  <c:v>53.442999999999998</c:v>
                </c:pt>
                <c:pt idx="173">
                  <c:v>53.905999999999999</c:v>
                </c:pt>
                <c:pt idx="174">
                  <c:v>54.692999999999998</c:v>
                </c:pt>
                <c:pt idx="175">
                  <c:v>53.113</c:v>
                </c:pt>
                <c:pt idx="176">
                  <c:v>52.98</c:v>
                </c:pt>
                <c:pt idx="177">
                  <c:v>53.645000000000003</c:v>
                </c:pt>
                <c:pt idx="178">
                  <c:v>53.881</c:v>
                </c:pt>
                <c:pt idx="179">
                  <c:v>54.441000000000003</c:v>
                </c:pt>
                <c:pt idx="180">
                  <c:v>53.198999999999998</c:v>
                </c:pt>
                <c:pt idx="181">
                  <c:v>53.43</c:v>
                </c:pt>
                <c:pt idx="182">
                  <c:v>53.375999999999998</c:v>
                </c:pt>
                <c:pt idx="183">
                  <c:v>54.052</c:v>
                </c:pt>
                <c:pt idx="184">
                  <c:v>54.386000000000003</c:v>
                </c:pt>
                <c:pt idx="185">
                  <c:v>54.6</c:v>
                </c:pt>
                <c:pt idx="186">
                  <c:v>55.46</c:v>
                </c:pt>
                <c:pt idx="187">
                  <c:v>56.012</c:v>
                </c:pt>
                <c:pt idx="188">
                  <c:v>58.674999999999997</c:v>
                </c:pt>
                <c:pt idx="189">
                  <c:v>59.319000000000003</c:v>
                </c:pt>
                <c:pt idx="190">
                  <c:v>58.316000000000003</c:v>
                </c:pt>
                <c:pt idx="191">
                  <c:v>57.34</c:v>
                </c:pt>
                <c:pt idx="192">
                  <c:v>57.642000000000003</c:v>
                </c:pt>
                <c:pt idx="193">
                  <c:v>55.859000000000002</c:v>
                </c:pt>
                <c:pt idx="194">
                  <c:v>55.04</c:v>
                </c:pt>
                <c:pt idx="195">
                  <c:v>56.661999999999999</c:v>
                </c:pt>
                <c:pt idx="196">
                  <c:v>56.261000000000003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6E-4BF6-A803-55FB2BD03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0687008"/>
        <c:axId val="1550688448"/>
      </c:lineChart>
      <c:dateAx>
        <c:axId val="15506870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688448"/>
        <c:crosses val="autoZero"/>
        <c:auto val="1"/>
        <c:lblOffset val="100"/>
        <c:baseTimeUnit val="days"/>
      </c:dateAx>
      <c:valAx>
        <c:axId val="1550688448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IG Spread (bps)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68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PnL Return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daily_pnl_pairs!$B$1</c:f>
              <c:strCache>
                <c:ptCount val="1"/>
                <c:pt idx="0">
                  <c:v>rolling_pnl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daily_pnl_pairs!$A$2:$A$199</c:f>
              <c:strCache>
                <c:ptCount val="198"/>
                <c:pt idx="0">
                  <c:v>2025-01-10</c:v>
                </c:pt>
                <c:pt idx="1">
                  <c:v>2025-01-13</c:v>
                </c:pt>
                <c:pt idx="2">
                  <c:v>2025-01-14</c:v>
                </c:pt>
                <c:pt idx="3">
                  <c:v>2025-01-15</c:v>
                </c:pt>
                <c:pt idx="4">
                  <c:v>2025-01-16</c:v>
                </c:pt>
                <c:pt idx="5">
                  <c:v>2025-01-17</c:v>
                </c:pt>
                <c:pt idx="6">
                  <c:v>2025-01-20</c:v>
                </c:pt>
                <c:pt idx="7">
                  <c:v>2025-01-21</c:v>
                </c:pt>
                <c:pt idx="8">
                  <c:v>2025-01-22</c:v>
                </c:pt>
                <c:pt idx="9">
                  <c:v>2025-01-23</c:v>
                </c:pt>
                <c:pt idx="10">
                  <c:v>2025-01-24</c:v>
                </c:pt>
                <c:pt idx="11">
                  <c:v>2025-01-27</c:v>
                </c:pt>
                <c:pt idx="12">
                  <c:v>2025-01-28</c:v>
                </c:pt>
                <c:pt idx="13">
                  <c:v>2025-01-29</c:v>
                </c:pt>
                <c:pt idx="14">
                  <c:v>2025-01-30</c:v>
                </c:pt>
                <c:pt idx="15">
                  <c:v>2025-01-31</c:v>
                </c:pt>
                <c:pt idx="16">
                  <c:v>2025-02-03</c:v>
                </c:pt>
                <c:pt idx="17">
                  <c:v>2025-02-04</c:v>
                </c:pt>
                <c:pt idx="18">
                  <c:v>2025-02-05</c:v>
                </c:pt>
                <c:pt idx="19">
                  <c:v>2025-02-06</c:v>
                </c:pt>
                <c:pt idx="20">
                  <c:v>2025-02-07</c:v>
                </c:pt>
                <c:pt idx="21">
                  <c:v>2025-02-10</c:v>
                </c:pt>
                <c:pt idx="22">
                  <c:v>2025-02-11</c:v>
                </c:pt>
                <c:pt idx="23">
                  <c:v>2025-02-12</c:v>
                </c:pt>
                <c:pt idx="24">
                  <c:v>2025-02-13</c:v>
                </c:pt>
                <c:pt idx="25">
                  <c:v>2025-02-14</c:v>
                </c:pt>
                <c:pt idx="26">
                  <c:v>2025-02-17</c:v>
                </c:pt>
                <c:pt idx="27">
                  <c:v>2025-02-18</c:v>
                </c:pt>
                <c:pt idx="28">
                  <c:v>2025-02-19</c:v>
                </c:pt>
                <c:pt idx="29">
                  <c:v>2025-02-20</c:v>
                </c:pt>
                <c:pt idx="30">
                  <c:v>2025-02-21</c:v>
                </c:pt>
                <c:pt idx="31">
                  <c:v>2025-02-24</c:v>
                </c:pt>
                <c:pt idx="32">
                  <c:v>2025-02-25</c:v>
                </c:pt>
                <c:pt idx="33">
                  <c:v>2025-02-26</c:v>
                </c:pt>
                <c:pt idx="34">
                  <c:v>2025-02-27</c:v>
                </c:pt>
                <c:pt idx="35">
                  <c:v>2025-02-28</c:v>
                </c:pt>
                <c:pt idx="36">
                  <c:v>2025-03-03</c:v>
                </c:pt>
                <c:pt idx="37">
                  <c:v>2025-03-04</c:v>
                </c:pt>
                <c:pt idx="38">
                  <c:v>2025-03-05</c:v>
                </c:pt>
                <c:pt idx="39">
                  <c:v>2025-03-06</c:v>
                </c:pt>
                <c:pt idx="40">
                  <c:v>2025-03-07</c:v>
                </c:pt>
                <c:pt idx="41">
                  <c:v>2025-03-10</c:v>
                </c:pt>
                <c:pt idx="42">
                  <c:v>2025-03-11</c:v>
                </c:pt>
                <c:pt idx="43">
                  <c:v>2025-03-12</c:v>
                </c:pt>
                <c:pt idx="44">
                  <c:v>2025-03-13</c:v>
                </c:pt>
                <c:pt idx="45">
                  <c:v>2025-03-14</c:v>
                </c:pt>
                <c:pt idx="46">
                  <c:v>2025-03-17</c:v>
                </c:pt>
                <c:pt idx="47">
                  <c:v>2025-03-18</c:v>
                </c:pt>
                <c:pt idx="48">
                  <c:v>2025-03-19</c:v>
                </c:pt>
                <c:pt idx="49">
                  <c:v>2025-03-20</c:v>
                </c:pt>
                <c:pt idx="50">
                  <c:v>2025-03-21</c:v>
                </c:pt>
                <c:pt idx="51">
                  <c:v>2025-03-24</c:v>
                </c:pt>
                <c:pt idx="52">
                  <c:v>2025-03-25</c:v>
                </c:pt>
                <c:pt idx="53">
                  <c:v>2025-03-26</c:v>
                </c:pt>
                <c:pt idx="54">
                  <c:v>2025-03-27</c:v>
                </c:pt>
                <c:pt idx="55">
                  <c:v>2025-03-28</c:v>
                </c:pt>
                <c:pt idx="56">
                  <c:v>2025-03-31</c:v>
                </c:pt>
                <c:pt idx="57">
                  <c:v>2025-04-01</c:v>
                </c:pt>
                <c:pt idx="58">
                  <c:v>2025-04-02</c:v>
                </c:pt>
                <c:pt idx="59">
                  <c:v>2025-04-03</c:v>
                </c:pt>
                <c:pt idx="60">
                  <c:v>2025-04-04</c:v>
                </c:pt>
                <c:pt idx="61">
                  <c:v>2025-04-07</c:v>
                </c:pt>
                <c:pt idx="62">
                  <c:v>2025-04-08</c:v>
                </c:pt>
                <c:pt idx="63">
                  <c:v>2025-04-09</c:v>
                </c:pt>
                <c:pt idx="64">
                  <c:v>2025-04-10</c:v>
                </c:pt>
                <c:pt idx="65">
                  <c:v>2025-04-11</c:v>
                </c:pt>
                <c:pt idx="66">
                  <c:v>2025-04-14</c:v>
                </c:pt>
                <c:pt idx="67">
                  <c:v>2025-04-15</c:v>
                </c:pt>
                <c:pt idx="68">
                  <c:v>2025-04-16</c:v>
                </c:pt>
                <c:pt idx="69">
                  <c:v>2025-04-17</c:v>
                </c:pt>
                <c:pt idx="70">
                  <c:v>2025-04-18</c:v>
                </c:pt>
                <c:pt idx="71">
                  <c:v>2025-04-21</c:v>
                </c:pt>
                <c:pt idx="72">
                  <c:v>2025-04-22</c:v>
                </c:pt>
                <c:pt idx="73">
                  <c:v>2025-04-23</c:v>
                </c:pt>
                <c:pt idx="74">
                  <c:v>2025-04-24</c:v>
                </c:pt>
                <c:pt idx="75">
                  <c:v>2025-04-25</c:v>
                </c:pt>
                <c:pt idx="76">
                  <c:v>2025-04-28</c:v>
                </c:pt>
                <c:pt idx="77">
                  <c:v>2025-04-29</c:v>
                </c:pt>
                <c:pt idx="78">
                  <c:v>2025-04-30</c:v>
                </c:pt>
                <c:pt idx="79">
                  <c:v>2025-05-01</c:v>
                </c:pt>
                <c:pt idx="80">
                  <c:v>2025-05-02</c:v>
                </c:pt>
                <c:pt idx="81">
                  <c:v>2025-05-05</c:v>
                </c:pt>
                <c:pt idx="82">
                  <c:v>2025-05-06</c:v>
                </c:pt>
                <c:pt idx="83">
                  <c:v>2025-05-07</c:v>
                </c:pt>
                <c:pt idx="84">
                  <c:v>2025-05-08</c:v>
                </c:pt>
                <c:pt idx="85">
                  <c:v>2025-05-09</c:v>
                </c:pt>
                <c:pt idx="86">
                  <c:v>2025-05-12</c:v>
                </c:pt>
                <c:pt idx="87">
                  <c:v>2025-05-13</c:v>
                </c:pt>
                <c:pt idx="88">
                  <c:v>2025-05-14</c:v>
                </c:pt>
                <c:pt idx="89">
                  <c:v>2025-05-15</c:v>
                </c:pt>
                <c:pt idx="90">
                  <c:v>2025-05-16</c:v>
                </c:pt>
                <c:pt idx="91">
                  <c:v>2025-05-19</c:v>
                </c:pt>
                <c:pt idx="92">
                  <c:v>2025-05-20</c:v>
                </c:pt>
                <c:pt idx="93">
                  <c:v>2025-05-21</c:v>
                </c:pt>
                <c:pt idx="94">
                  <c:v>2025-05-22</c:v>
                </c:pt>
                <c:pt idx="95">
                  <c:v>2025-05-23</c:v>
                </c:pt>
                <c:pt idx="96">
                  <c:v>2025-05-26</c:v>
                </c:pt>
                <c:pt idx="97">
                  <c:v>2025-05-27</c:v>
                </c:pt>
                <c:pt idx="98">
                  <c:v>2025-05-28</c:v>
                </c:pt>
                <c:pt idx="99">
                  <c:v>2025-05-29</c:v>
                </c:pt>
                <c:pt idx="100">
                  <c:v>2025-05-30</c:v>
                </c:pt>
                <c:pt idx="101">
                  <c:v>2025-06-02</c:v>
                </c:pt>
                <c:pt idx="102">
                  <c:v>2025-06-03</c:v>
                </c:pt>
                <c:pt idx="103">
                  <c:v>2025-06-04</c:v>
                </c:pt>
                <c:pt idx="104">
                  <c:v>2025-06-05</c:v>
                </c:pt>
                <c:pt idx="105">
                  <c:v>2025-06-06</c:v>
                </c:pt>
                <c:pt idx="106">
                  <c:v>2025-06-09</c:v>
                </c:pt>
                <c:pt idx="107">
                  <c:v>2025-06-10</c:v>
                </c:pt>
                <c:pt idx="108">
                  <c:v>2025-06-11</c:v>
                </c:pt>
                <c:pt idx="109">
                  <c:v>2025-06-12</c:v>
                </c:pt>
                <c:pt idx="110">
                  <c:v>2025-06-13</c:v>
                </c:pt>
                <c:pt idx="111">
                  <c:v>2025-06-16</c:v>
                </c:pt>
                <c:pt idx="112">
                  <c:v>2025-06-17</c:v>
                </c:pt>
                <c:pt idx="113">
                  <c:v>2025-06-18</c:v>
                </c:pt>
                <c:pt idx="114">
                  <c:v>2025-06-19</c:v>
                </c:pt>
                <c:pt idx="115">
                  <c:v>2025-06-20</c:v>
                </c:pt>
                <c:pt idx="116">
                  <c:v>2025-06-23</c:v>
                </c:pt>
                <c:pt idx="117">
                  <c:v>2025-06-24</c:v>
                </c:pt>
                <c:pt idx="118">
                  <c:v>2025-06-25</c:v>
                </c:pt>
                <c:pt idx="119">
                  <c:v>2025-06-26</c:v>
                </c:pt>
                <c:pt idx="120">
                  <c:v>2025-06-27</c:v>
                </c:pt>
                <c:pt idx="121">
                  <c:v>2025-06-30</c:v>
                </c:pt>
                <c:pt idx="122">
                  <c:v>2025-07-01</c:v>
                </c:pt>
                <c:pt idx="123">
                  <c:v>2025-07-02</c:v>
                </c:pt>
                <c:pt idx="124">
                  <c:v>2025-07-03</c:v>
                </c:pt>
                <c:pt idx="125">
                  <c:v>2025-07-04</c:v>
                </c:pt>
                <c:pt idx="126">
                  <c:v>2025-07-07</c:v>
                </c:pt>
                <c:pt idx="127">
                  <c:v>2025-07-08</c:v>
                </c:pt>
                <c:pt idx="128">
                  <c:v>2025-07-09</c:v>
                </c:pt>
                <c:pt idx="129">
                  <c:v>2025-07-10</c:v>
                </c:pt>
                <c:pt idx="130">
                  <c:v>2025-07-11</c:v>
                </c:pt>
                <c:pt idx="131">
                  <c:v>2025-07-14</c:v>
                </c:pt>
                <c:pt idx="132">
                  <c:v>2025-07-15</c:v>
                </c:pt>
                <c:pt idx="133">
                  <c:v>2025-07-16</c:v>
                </c:pt>
                <c:pt idx="134">
                  <c:v>2025-07-17</c:v>
                </c:pt>
                <c:pt idx="135">
                  <c:v>2025-07-18</c:v>
                </c:pt>
                <c:pt idx="136">
                  <c:v>2025-07-21</c:v>
                </c:pt>
                <c:pt idx="137">
                  <c:v>2025-07-22</c:v>
                </c:pt>
                <c:pt idx="138">
                  <c:v>2025-07-23</c:v>
                </c:pt>
                <c:pt idx="139">
                  <c:v>2025-07-24</c:v>
                </c:pt>
                <c:pt idx="140">
                  <c:v>2025-07-25</c:v>
                </c:pt>
                <c:pt idx="141">
                  <c:v>2025-07-28</c:v>
                </c:pt>
                <c:pt idx="142">
                  <c:v>2025-07-29</c:v>
                </c:pt>
                <c:pt idx="143">
                  <c:v>2025-07-30</c:v>
                </c:pt>
                <c:pt idx="144">
                  <c:v>2025-07-31</c:v>
                </c:pt>
                <c:pt idx="145">
                  <c:v>2025-08-01</c:v>
                </c:pt>
                <c:pt idx="146">
                  <c:v>2025-08-04</c:v>
                </c:pt>
                <c:pt idx="147">
                  <c:v>2025-08-05</c:v>
                </c:pt>
                <c:pt idx="148">
                  <c:v>2025-08-06</c:v>
                </c:pt>
                <c:pt idx="149">
                  <c:v>2025-08-07</c:v>
                </c:pt>
                <c:pt idx="150">
                  <c:v>2025-08-08</c:v>
                </c:pt>
                <c:pt idx="151">
                  <c:v>2025-08-11</c:v>
                </c:pt>
                <c:pt idx="152">
                  <c:v>2025-08-12</c:v>
                </c:pt>
                <c:pt idx="153">
                  <c:v>2025-08-13</c:v>
                </c:pt>
                <c:pt idx="154">
                  <c:v>2025-08-14</c:v>
                </c:pt>
                <c:pt idx="155">
                  <c:v>2025-08-15</c:v>
                </c:pt>
                <c:pt idx="156">
                  <c:v>2025-08-18</c:v>
                </c:pt>
                <c:pt idx="157">
                  <c:v>2025-08-19</c:v>
                </c:pt>
                <c:pt idx="158">
                  <c:v>2025-08-20</c:v>
                </c:pt>
                <c:pt idx="159">
                  <c:v>2025-08-21</c:v>
                </c:pt>
                <c:pt idx="160">
                  <c:v>2025-08-22</c:v>
                </c:pt>
                <c:pt idx="161">
                  <c:v>2025-08-25</c:v>
                </c:pt>
                <c:pt idx="162">
                  <c:v>2025-08-26</c:v>
                </c:pt>
                <c:pt idx="163">
                  <c:v>2025-08-27</c:v>
                </c:pt>
                <c:pt idx="164">
                  <c:v>2025-08-28</c:v>
                </c:pt>
                <c:pt idx="165">
                  <c:v>2025-08-29</c:v>
                </c:pt>
                <c:pt idx="166">
                  <c:v>2025-09-01</c:v>
                </c:pt>
                <c:pt idx="167">
                  <c:v>2025-09-02</c:v>
                </c:pt>
                <c:pt idx="168">
                  <c:v>2025-09-03</c:v>
                </c:pt>
                <c:pt idx="169">
                  <c:v>2025-09-04</c:v>
                </c:pt>
                <c:pt idx="170">
                  <c:v>2025-09-05</c:v>
                </c:pt>
                <c:pt idx="171">
                  <c:v>2025-09-08</c:v>
                </c:pt>
                <c:pt idx="172">
                  <c:v>2025-09-09</c:v>
                </c:pt>
                <c:pt idx="173">
                  <c:v>2025-09-10</c:v>
                </c:pt>
                <c:pt idx="174">
                  <c:v>2025-09-11</c:v>
                </c:pt>
                <c:pt idx="175">
                  <c:v>2025-09-12</c:v>
                </c:pt>
                <c:pt idx="176">
                  <c:v>2025-09-15</c:v>
                </c:pt>
                <c:pt idx="177">
                  <c:v>2025-09-16</c:v>
                </c:pt>
                <c:pt idx="178">
                  <c:v>2025-09-17</c:v>
                </c:pt>
                <c:pt idx="179">
                  <c:v>2025-09-18</c:v>
                </c:pt>
                <c:pt idx="180">
                  <c:v>2025-09-19</c:v>
                </c:pt>
                <c:pt idx="181">
                  <c:v>2025-09-22</c:v>
                </c:pt>
                <c:pt idx="182">
                  <c:v>2025-09-23</c:v>
                </c:pt>
                <c:pt idx="183">
                  <c:v>2025-09-24</c:v>
                </c:pt>
                <c:pt idx="184">
                  <c:v>2025-09-25</c:v>
                </c:pt>
                <c:pt idx="185">
                  <c:v>2025-09-26</c:v>
                </c:pt>
                <c:pt idx="186">
                  <c:v>2025-09-29</c:v>
                </c:pt>
                <c:pt idx="187">
                  <c:v>2025-09-30</c:v>
                </c:pt>
                <c:pt idx="188">
                  <c:v>2025-10-01</c:v>
                </c:pt>
                <c:pt idx="189">
                  <c:v>2025-10-02</c:v>
                </c:pt>
                <c:pt idx="190">
                  <c:v>2025-10-03</c:v>
                </c:pt>
                <c:pt idx="191">
                  <c:v>2025-10-06</c:v>
                </c:pt>
                <c:pt idx="192">
                  <c:v>2025-10-07</c:v>
                </c:pt>
                <c:pt idx="193">
                  <c:v>2025-10-08</c:v>
                </c:pt>
                <c:pt idx="194">
                  <c:v>2025-10-09</c:v>
                </c:pt>
                <c:pt idx="195">
                  <c:v>2025-10-10</c:v>
                </c:pt>
                <c:pt idx="196">
                  <c:v>2025-10-13</c:v>
                </c:pt>
                <c:pt idx="197">
                  <c:v>2025-10-14</c:v>
                </c:pt>
              </c:strCache>
            </c:strRef>
          </c:cat>
          <c:val>
            <c:numRef>
              <c:f>daily_pnl_pairs!$B$2:$B$199</c:f>
              <c:numCache>
                <c:formatCode>General</c:formatCode>
                <c:ptCount val="198"/>
                <c:pt idx="0">
                  <c:v>7007</c:v>
                </c:pt>
                <c:pt idx="1">
                  <c:v>-18433</c:v>
                </c:pt>
                <c:pt idx="2">
                  <c:v>73519</c:v>
                </c:pt>
                <c:pt idx="3">
                  <c:v>420686</c:v>
                </c:pt>
                <c:pt idx="4">
                  <c:v>372077</c:v>
                </c:pt>
                <c:pt idx="5">
                  <c:v>386905</c:v>
                </c:pt>
                <c:pt idx="6">
                  <c:v>318730</c:v>
                </c:pt>
                <c:pt idx="7">
                  <c:v>495474</c:v>
                </c:pt>
                <c:pt idx="8">
                  <c:v>486864</c:v>
                </c:pt>
                <c:pt idx="9">
                  <c:v>513599</c:v>
                </c:pt>
                <c:pt idx="10">
                  <c:v>488761</c:v>
                </c:pt>
                <c:pt idx="11">
                  <c:v>405933</c:v>
                </c:pt>
                <c:pt idx="12">
                  <c:v>526714</c:v>
                </c:pt>
                <c:pt idx="13">
                  <c:v>490536</c:v>
                </c:pt>
                <c:pt idx="14">
                  <c:v>593600</c:v>
                </c:pt>
                <c:pt idx="15">
                  <c:v>522786</c:v>
                </c:pt>
                <c:pt idx="16">
                  <c:v>474787</c:v>
                </c:pt>
                <c:pt idx="17">
                  <c:v>592640</c:v>
                </c:pt>
                <c:pt idx="18">
                  <c:v>619970</c:v>
                </c:pt>
                <c:pt idx="19">
                  <c:v>579247</c:v>
                </c:pt>
                <c:pt idx="20">
                  <c:v>544344</c:v>
                </c:pt>
                <c:pt idx="21">
                  <c:v>620833</c:v>
                </c:pt>
                <c:pt idx="22">
                  <c:v>599151</c:v>
                </c:pt>
                <c:pt idx="23">
                  <c:v>618477</c:v>
                </c:pt>
                <c:pt idx="24">
                  <c:v>672938</c:v>
                </c:pt>
                <c:pt idx="25">
                  <c:v>642958</c:v>
                </c:pt>
                <c:pt idx="26">
                  <c:v>691707</c:v>
                </c:pt>
                <c:pt idx="27">
                  <c:v>654843</c:v>
                </c:pt>
                <c:pt idx="28">
                  <c:v>679130</c:v>
                </c:pt>
                <c:pt idx="29">
                  <c:v>640755</c:v>
                </c:pt>
                <c:pt idx="30">
                  <c:v>464154</c:v>
                </c:pt>
                <c:pt idx="31">
                  <c:v>482339</c:v>
                </c:pt>
                <c:pt idx="32">
                  <c:v>446334</c:v>
                </c:pt>
                <c:pt idx="33">
                  <c:v>405337</c:v>
                </c:pt>
                <c:pt idx="34">
                  <c:v>337670</c:v>
                </c:pt>
                <c:pt idx="35">
                  <c:v>271574</c:v>
                </c:pt>
                <c:pt idx="36">
                  <c:v>240927</c:v>
                </c:pt>
                <c:pt idx="37">
                  <c:v>292351</c:v>
                </c:pt>
                <c:pt idx="38">
                  <c:v>237099</c:v>
                </c:pt>
                <c:pt idx="39">
                  <c:v>-56427</c:v>
                </c:pt>
                <c:pt idx="40">
                  <c:v>89906</c:v>
                </c:pt>
                <c:pt idx="41">
                  <c:v>-351098</c:v>
                </c:pt>
                <c:pt idx="42">
                  <c:v>-237019</c:v>
                </c:pt>
                <c:pt idx="43">
                  <c:v>-300903</c:v>
                </c:pt>
                <c:pt idx="44">
                  <c:v>-392047</c:v>
                </c:pt>
                <c:pt idx="45">
                  <c:v>-137456</c:v>
                </c:pt>
                <c:pt idx="46">
                  <c:v>28350</c:v>
                </c:pt>
                <c:pt idx="47">
                  <c:v>-110444</c:v>
                </c:pt>
                <c:pt idx="48">
                  <c:v>225030</c:v>
                </c:pt>
                <c:pt idx="49">
                  <c:v>2114</c:v>
                </c:pt>
                <c:pt idx="50">
                  <c:v>-233632</c:v>
                </c:pt>
                <c:pt idx="51">
                  <c:v>173673</c:v>
                </c:pt>
                <c:pt idx="52">
                  <c:v>153497</c:v>
                </c:pt>
                <c:pt idx="53">
                  <c:v>-8940</c:v>
                </c:pt>
                <c:pt idx="54">
                  <c:v>-99556</c:v>
                </c:pt>
                <c:pt idx="55">
                  <c:v>-378383</c:v>
                </c:pt>
                <c:pt idx="56">
                  <c:v>-389783</c:v>
                </c:pt>
                <c:pt idx="57">
                  <c:v>-408038</c:v>
                </c:pt>
                <c:pt idx="58">
                  <c:v>-318663</c:v>
                </c:pt>
                <c:pt idx="59">
                  <c:v>-1142165</c:v>
                </c:pt>
                <c:pt idx="60">
                  <c:v>-1948368</c:v>
                </c:pt>
                <c:pt idx="61">
                  <c:v>-1938876</c:v>
                </c:pt>
                <c:pt idx="62">
                  <c:v>-3085899</c:v>
                </c:pt>
                <c:pt idx="63">
                  <c:v>255310</c:v>
                </c:pt>
                <c:pt idx="64">
                  <c:v>-1402774</c:v>
                </c:pt>
                <c:pt idx="65">
                  <c:v>-1176423</c:v>
                </c:pt>
                <c:pt idx="66">
                  <c:v>-1057890</c:v>
                </c:pt>
                <c:pt idx="67">
                  <c:v>-1202477</c:v>
                </c:pt>
                <c:pt idx="68">
                  <c:v>-2277999</c:v>
                </c:pt>
                <c:pt idx="69">
                  <c:v>-1284302</c:v>
                </c:pt>
                <c:pt idx="70">
                  <c:v>-876297</c:v>
                </c:pt>
                <c:pt idx="71">
                  <c:v>-3943187</c:v>
                </c:pt>
                <c:pt idx="72">
                  <c:v>-1941423</c:v>
                </c:pt>
                <c:pt idx="73">
                  <c:v>-686200</c:v>
                </c:pt>
                <c:pt idx="74">
                  <c:v>135879</c:v>
                </c:pt>
                <c:pt idx="75">
                  <c:v>-92903</c:v>
                </c:pt>
                <c:pt idx="76">
                  <c:v>-406298</c:v>
                </c:pt>
                <c:pt idx="77">
                  <c:v>29283</c:v>
                </c:pt>
                <c:pt idx="78">
                  <c:v>-727546</c:v>
                </c:pt>
                <c:pt idx="79">
                  <c:v>-220319</c:v>
                </c:pt>
                <c:pt idx="80">
                  <c:v>891446</c:v>
                </c:pt>
                <c:pt idx="81">
                  <c:v>1329817</c:v>
                </c:pt>
                <c:pt idx="82">
                  <c:v>676666</c:v>
                </c:pt>
                <c:pt idx="83">
                  <c:v>650623</c:v>
                </c:pt>
                <c:pt idx="84">
                  <c:v>1473255</c:v>
                </c:pt>
                <c:pt idx="85">
                  <c:v>1274608</c:v>
                </c:pt>
                <c:pt idx="86">
                  <c:v>3846500</c:v>
                </c:pt>
                <c:pt idx="87">
                  <c:v>4701525</c:v>
                </c:pt>
                <c:pt idx="88">
                  <c:v>3984943</c:v>
                </c:pt>
                <c:pt idx="89">
                  <c:v>4136642</c:v>
                </c:pt>
                <c:pt idx="90">
                  <c:v>4225937</c:v>
                </c:pt>
                <c:pt idx="91">
                  <c:v>3406009</c:v>
                </c:pt>
                <c:pt idx="92">
                  <c:v>3943318</c:v>
                </c:pt>
                <c:pt idx="93">
                  <c:v>2552547</c:v>
                </c:pt>
                <c:pt idx="94">
                  <c:v>2822036</c:v>
                </c:pt>
                <c:pt idx="95">
                  <c:v>2267399</c:v>
                </c:pt>
                <c:pt idx="96">
                  <c:v>2252303</c:v>
                </c:pt>
                <c:pt idx="97">
                  <c:v>3820070</c:v>
                </c:pt>
                <c:pt idx="98">
                  <c:v>3716634</c:v>
                </c:pt>
                <c:pt idx="99">
                  <c:v>3573168</c:v>
                </c:pt>
                <c:pt idx="100">
                  <c:v>3760060</c:v>
                </c:pt>
                <c:pt idx="101">
                  <c:v>4202586</c:v>
                </c:pt>
                <c:pt idx="102">
                  <c:v>3806164</c:v>
                </c:pt>
                <c:pt idx="103">
                  <c:v>4305164</c:v>
                </c:pt>
                <c:pt idx="104">
                  <c:v>4091626</c:v>
                </c:pt>
                <c:pt idx="105">
                  <c:v>4740602</c:v>
                </c:pt>
                <c:pt idx="106">
                  <c:v>4883731</c:v>
                </c:pt>
                <c:pt idx="107">
                  <c:v>5080279</c:v>
                </c:pt>
                <c:pt idx="108">
                  <c:v>5035202</c:v>
                </c:pt>
                <c:pt idx="109">
                  <c:v>5051844</c:v>
                </c:pt>
                <c:pt idx="110">
                  <c:v>4242846</c:v>
                </c:pt>
                <c:pt idx="111">
                  <c:v>4885834</c:v>
                </c:pt>
                <c:pt idx="112">
                  <c:v>4020930</c:v>
                </c:pt>
                <c:pt idx="113">
                  <c:v>4199231</c:v>
                </c:pt>
                <c:pt idx="114">
                  <c:v>4703907</c:v>
                </c:pt>
                <c:pt idx="115">
                  <c:v>4395731</c:v>
                </c:pt>
                <c:pt idx="116">
                  <c:v>4967114</c:v>
                </c:pt>
                <c:pt idx="117">
                  <c:v>5881809</c:v>
                </c:pt>
                <c:pt idx="118">
                  <c:v>5590240</c:v>
                </c:pt>
                <c:pt idx="119">
                  <c:v>5997146</c:v>
                </c:pt>
                <c:pt idx="120">
                  <c:v>5796796</c:v>
                </c:pt>
                <c:pt idx="121">
                  <c:v>6603513</c:v>
                </c:pt>
                <c:pt idx="122">
                  <c:v>5781772</c:v>
                </c:pt>
                <c:pt idx="123">
                  <c:v>7157206</c:v>
                </c:pt>
                <c:pt idx="124">
                  <c:v>7744820</c:v>
                </c:pt>
                <c:pt idx="125">
                  <c:v>7971483</c:v>
                </c:pt>
                <c:pt idx="126">
                  <c:v>7241799</c:v>
                </c:pt>
                <c:pt idx="127">
                  <c:v>6926427</c:v>
                </c:pt>
                <c:pt idx="128">
                  <c:v>7568294</c:v>
                </c:pt>
                <c:pt idx="129">
                  <c:v>7632542</c:v>
                </c:pt>
                <c:pt idx="130">
                  <c:v>7291430</c:v>
                </c:pt>
                <c:pt idx="131">
                  <c:v>7224931</c:v>
                </c:pt>
                <c:pt idx="132">
                  <c:v>6646830</c:v>
                </c:pt>
                <c:pt idx="133">
                  <c:v>6819460</c:v>
                </c:pt>
                <c:pt idx="134">
                  <c:v>7250237</c:v>
                </c:pt>
                <c:pt idx="135">
                  <c:v>7169525</c:v>
                </c:pt>
                <c:pt idx="136">
                  <c:v>7404848</c:v>
                </c:pt>
                <c:pt idx="137">
                  <c:v>7324630</c:v>
                </c:pt>
                <c:pt idx="138">
                  <c:v>7784613</c:v>
                </c:pt>
                <c:pt idx="139">
                  <c:v>7443158</c:v>
                </c:pt>
                <c:pt idx="140">
                  <c:v>7520180</c:v>
                </c:pt>
                <c:pt idx="141">
                  <c:v>7581982</c:v>
                </c:pt>
                <c:pt idx="142">
                  <c:v>7244781</c:v>
                </c:pt>
                <c:pt idx="143">
                  <c:v>7089957</c:v>
                </c:pt>
                <c:pt idx="144">
                  <c:v>7138513</c:v>
                </c:pt>
                <c:pt idx="145">
                  <c:v>5868950</c:v>
                </c:pt>
                <c:pt idx="146">
                  <c:v>5423947</c:v>
                </c:pt>
                <c:pt idx="147">
                  <c:v>6886899</c:v>
                </c:pt>
                <c:pt idx="148">
                  <c:v>6835093</c:v>
                </c:pt>
                <c:pt idx="149">
                  <c:v>6583819</c:v>
                </c:pt>
                <c:pt idx="150">
                  <c:v>6989953</c:v>
                </c:pt>
                <c:pt idx="151">
                  <c:v>6857248</c:v>
                </c:pt>
                <c:pt idx="152">
                  <c:v>7543363</c:v>
                </c:pt>
                <c:pt idx="153">
                  <c:v>7832149</c:v>
                </c:pt>
                <c:pt idx="154">
                  <c:v>7573721</c:v>
                </c:pt>
                <c:pt idx="155">
                  <c:v>7416204</c:v>
                </c:pt>
                <c:pt idx="156">
                  <c:v>7479072</c:v>
                </c:pt>
                <c:pt idx="157">
                  <c:v>7089404</c:v>
                </c:pt>
                <c:pt idx="158">
                  <c:v>7139253</c:v>
                </c:pt>
                <c:pt idx="159">
                  <c:v>6957819</c:v>
                </c:pt>
                <c:pt idx="160">
                  <c:v>8262338</c:v>
                </c:pt>
                <c:pt idx="161">
                  <c:v>8037948</c:v>
                </c:pt>
                <c:pt idx="162">
                  <c:v>8627563</c:v>
                </c:pt>
                <c:pt idx="163">
                  <c:v>8778556</c:v>
                </c:pt>
                <c:pt idx="164">
                  <c:v>8280989</c:v>
                </c:pt>
                <c:pt idx="165">
                  <c:v>8145689</c:v>
                </c:pt>
                <c:pt idx="166">
                  <c:v>5857824</c:v>
                </c:pt>
                <c:pt idx="167">
                  <c:v>8746780</c:v>
                </c:pt>
                <c:pt idx="168">
                  <c:v>8161950</c:v>
                </c:pt>
                <c:pt idx="169">
                  <c:v>8875871</c:v>
                </c:pt>
                <c:pt idx="170">
                  <c:v>8478588</c:v>
                </c:pt>
                <c:pt idx="171">
                  <c:v>8107723</c:v>
                </c:pt>
                <c:pt idx="172">
                  <c:v>8061647</c:v>
                </c:pt>
                <c:pt idx="173">
                  <c:v>8458827</c:v>
                </c:pt>
                <c:pt idx="174">
                  <c:v>8978080</c:v>
                </c:pt>
                <c:pt idx="175">
                  <c:v>8809189</c:v>
                </c:pt>
                <c:pt idx="176">
                  <c:v>9350107</c:v>
                </c:pt>
                <c:pt idx="177">
                  <c:v>9543751</c:v>
                </c:pt>
                <c:pt idx="178">
                  <c:v>9009962</c:v>
                </c:pt>
                <c:pt idx="179">
                  <c:v>9809573</c:v>
                </c:pt>
                <c:pt idx="180">
                  <c:v>9703540</c:v>
                </c:pt>
                <c:pt idx="181">
                  <c:v>9811420</c:v>
                </c:pt>
                <c:pt idx="182">
                  <c:v>9244140</c:v>
                </c:pt>
                <c:pt idx="183">
                  <c:v>9199786</c:v>
                </c:pt>
                <c:pt idx="184">
                  <c:v>9002152</c:v>
                </c:pt>
                <c:pt idx="185">
                  <c:v>9535796</c:v>
                </c:pt>
                <c:pt idx="186">
                  <c:v>10184313</c:v>
                </c:pt>
                <c:pt idx="187">
                  <c:v>7289731</c:v>
                </c:pt>
                <c:pt idx="188">
                  <c:v>9910656</c:v>
                </c:pt>
                <c:pt idx="189">
                  <c:v>9778306</c:v>
                </c:pt>
                <c:pt idx="190">
                  <c:v>9931899</c:v>
                </c:pt>
                <c:pt idx="191">
                  <c:v>10961955</c:v>
                </c:pt>
                <c:pt idx="192">
                  <c:v>11056333</c:v>
                </c:pt>
                <c:pt idx="193">
                  <c:v>10807157</c:v>
                </c:pt>
                <c:pt idx="194">
                  <c:v>11163630</c:v>
                </c:pt>
                <c:pt idx="195">
                  <c:v>10065464</c:v>
                </c:pt>
                <c:pt idx="196">
                  <c:v>7219239</c:v>
                </c:pt>
                <c:pt idx="197">
                  <c:v>7690266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DE-4E96-B4E8-BA217DB3B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1999104"/>
        <c:axId val="682000544"/>
      </c:lineChart>
      <c:lineChart>
        <c:grouping val="standard"/>
        <c:varyColors val="0"/>
        <c:ser>
          <c:idx val="1"/>
          <c:order val="1"/>
          <c:tx>
            <c:strRef>
              <c:f>daily_pnl_pairs!$C$1</c:f>
              <c:strCache>
                <c:ptCount val="1"/>
                <c:pt idx="0">
                  <c:v>net upfront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daily_pnl_pairs!$A$2:$A$199</c:f>
              <c:strCache>
                <c:ptCount val="198"/>
                <c:pt idx="0">
                  <c:v>2025-01-10</c:v>
                </c:pt>
                <c:pt idx="1">
                  <c:v>2025-01-13</c:v>
                </c:pt>
                <c:pt idx="2">
                  <c:v>2025-01-14</c:v>
                </c:pt>
                <c:pt idx="3">
                  <c:v>2025-01-15</c:v>
                </c:pt>
                <c:pt idx="4">
                  <c:v>2025-01-16</c:v>
                </c:pt>
                <c:pt idx="5">
                  <c:v>2025-01-17</c:v>
                </c:pt>
                <c:pt idx="6">
                  <c:v>2025-01-20</c:v>
                </c:pt>
                <c:pt idx="7">
                  <c:v>2025-01-21</c:v>
                </c:pt>
                <c:pt idx="8">
                  <c:v>2025-01-22</c:v>
                </c:pt>
                <c:pt idx="9">
                  <c:v>2025-01-23</c:v>
                </c:pt>
                <c:pt idx="10">
                  <c:v>2025-01-24</c:v>
                </c:pt>
                <c:pt idx="11">
                  <c:v>2025-01-27</c:v>
                </c:pt>
                <c:pt idx="12">
                  <c:v>2025-01-28</c:v>
                </c:pt>
                <c:pt idx="13">
                  <c:v>2025-01-29</c:v>
                </c:pt>
                <c:pt idx="14">
                  <c:v>2025-01-30</c:v>
                </c:pt>
                <c:pt idx="15">
                  <c:v>2025-01-31</c:v>
                </c:pt>
                <c:pt idx="16">
                  <c:v>2025-02-03</c:v>
                </c:pt>
                <c:pt idx="17">
                  <c:v>2025-02-04</c:v>
                </c:pt>
                <c:pt idx="18">
                  <c:v>2025-02-05</c:v>
                </c:pt>
                <c:pt idx="19">
                  <c:v>2025-02-06</c:v>
                </c:pt>
                <c:pt idx="20">
                  <c:v>2025-02-07</c:v>
                </c:pt>
                <c:pt idx="21">
                  <c:v>2025-02-10</c:v>
                </c:pt>
                <c:pt idx="22">
                  <c:v>2025-02-11</c:v>
                </c:pt>
                <c:pt idx="23">
                  <c:v>2025-02-12</c:v>
                </c:pt>
                <c:pt idx="24">
                  <c:v>2025-02-13</c:v>
                </c:pt>
                <c:pt idx="25">
                  <c:v>2025-02-14</c:v>
                </c:pt>
                <c:pt idx="26">
                  <c:v>2025-02-17</c:v>
                </c:pt>
                <c:pt idx="27">
                  <c:v>2025-02-18</c:v>
                </c:pt>
                <c:pt idx="28">
                  <c:v>2025-02-19</c:v>
                </c:pt>
                <c:pt idx="29">
                  <c:v>2025-02-20</c:v>
                </c:pt>
                <c:pt idx="30">
                  <c:v>2025-02-21</c:v>
                </c:pt>
                <c:pt idx="31">
                  <c:v>2025-02-24</c:v>
                </c:pt>
                <c:pt idx="32">
                  <c:v>2025-02-25</c:v>
                </c:pt>
                <c:pt idx="33">
                  <c:v>2025-02-26</c:v>
                </c:pt>
                <c:pt idx="34">
                  <c:v>2025-02-27</c:v>
                </c:pt>
                <c:pt idx="35">
                  <c:v>2025-02-28</c:v>
                </c:pt>
                <c:pt idx="36">
                  <c:v>2025-03-03</c:v>
                </c:pt>
                <c:pt idx="37">
                  <c:v>2025-03-04</c:v>
                </c:pt>
                <c:pt idx="38">
                  <c:v>2025-03-05</c:v>
                </c:pt>
                <c:pt idx="39">
                  <c:v>2025-03-06</c:v>
                </c:pt>
                <c:pt idx="40">
                  <c:v>2025-03-07</c:v>
                </c:pt>
                <c:pt idx="41">
                  <c:v>2025-03-10</c:v>
                </c:pt>
                <c:pt idx="42">
                  <c:v>2025-03-11</c:v>
                </c:pt>
                <c:pt idx="43">
                  <c:v>2025-03-12</c:v>
                </c:pt>
                <c:pt idx="44">
                  <c:v>2025-03-13</c:v>
                </c:pt>
                <c:pt idx="45">
                  <c:v>2025-03-14</c:v>
                </c:pt>
                <c:pt idx="46">
                  <c:v>2025-03-17</c:v>
                </c:pt>
                <c:pt idx="47">
                  <c:v>2025-03-18</c:v>
                </c:pt>
                <c:pt idx="48">
                  <c:v>2025-03-19</c:v>
                </c:pt>
                <c:pt idx="49">
                  <c:v>2025-03-20</c:v>
                </c:pt>
                <c:pt idx="50">
                  <c:v>2025-03-21</c:v>
                </c:pt>
                <c:pt idx="51">
                  <c:v>2025-03-24</c:v>
                </c:pt>
                <c:pt idx="52">
                  <c:v>2025-03-25</c:v>
                </c:pt>
                <c:pt idx="53">
                  <c:v>2025-03-26</c:v>
                </c:pt>
                <c:pt idx="54">
                  <c:v>2025-03-27</c:v>
                </c:pt>
                <c:pt idx="55">
                  <c:v>2025-03-28</c:v>
                </c:pt>
                <c:pt idx="56">
                  <c:v>2025-03-31</c:v>
                </c:pt>
                <c:pt idx="57">
                  <c:v>2025-04-01</c:v>
                </c:pt>
                <c:pt idx="58">
                  <c:v>2025-04-02</c:v>
                </c:pt>
                <c:pt idx="59">
                  <c:v>2025-04-03</c:v>
                </c:pt>
                <c:pt idx="60">
                  <c:v>2025-04-04</c:v>
                </c:pt>
                <c:pt idx="61">
                  <c:v>2025-04-07</c:v>
                </c:pt>
                <c:pt idx="62">
                  <c:v>2025-04-08</c:v>
                </c:pt>
                <c:pt idx="63">
                  <c:v>2025-04-09</c:v>
                </c:pt>
                <c:pt idx="64">
                  <c:v>2025-04-10</c:v>
                </c:pt>
                <c:pt idx="65">
                  <c:v>2025-04-11</c:v>
                </c:pt>
                <c:pt idx="66">
                  <c:v>2025-04-14</c:v>
                </c:pt>
                <c:pt idx="67">
                  <c:v>2025-04-15</c:v>
                </c:pt>
                <c:pt idx="68">
                  <c:v>2025-04-16</c:v>
                </c:pt>
                <c:pt idx="69">
                  <c:v>2025-04-17</c:v>
                </c:pt>
                <c:pt idx="70">
                  <c:v>2025-04-18</c:v>
                </c:pt>
                <c:pt idx="71">
                  <c:v>2025-04-21</c:v>
                </c:pt>
                <c:pt idx="72">
                  <c:v>2025-04-22</c:v>
                </c:pt>
                <c:pt idx="73">
                  <c:v>2025-04-23</c:v>
                </c:pt>
                <c:pt idx="74">
                  <c:v>2025-04-24</c:v>
                </c:pt>
                <c:pt idx="75">
                  <c:v>2025-04-25</c:v>
                </c:pt>
                <c:pt idx="76">
                  <c:v>2025-04-28</c:v>
                </c:pt>
                <c:pt idx="77">
                  <c:v>2025-04-29</c:v>
                </c:pt>
                <c:pt idx="78">
                  <c:v>2025-04-30</c:v>
                </c:pt>
                <c:pt idx="79">
                  <c:v>2025-05-01</c:v>
                </c:pt>
                <c:pt idx="80">
                  <c:v>2025-05-02</c:v>
                </c:pt>
                <c:pt idx="81">
                  <c:v>2025-05-05</c:v>
                </c:pt>
                <c:pt idx="82">
                  <c:v>2025-05-06</c:v>
                </c:pt>
                <c:pt idx="83">
                  <c:v>2025-05-07</c:v>
                </c:pt>
                <c:pt idx="84">
                  <c:v>2025-05-08</c:v>
                </c:pt>
                <c:pt idx="85">
                  <c:v>2025-05-09</c:v>
                </c:pt>
                <c:pt idx="86">
                  <c:v>2025-05-12</c:v>
                </c:pt>
                <c:pt idx="87">
                  <c:v>2025-05-13</c:v>
                </c:pt>
                <c:pt idx="88">
                  <c:v>2025-05-14</c:v>
                </c:pt>
                <c:pt idx="89">
                  <c:v>2025-05-15</c:v>
                </c:pt>
                <c:pt idx="90">
                  <c:v>2025-05-16</c:v>
                </c:pt>
                <c:pt idx="91">
                  <c:v>2025-05-19</c:v>
                </c:pt>
                <c:pt idx="92">
                  <c:v>2025-05-20</c:v>
                </c:pt>
                <c:pt idx="93">
                  <c:v>2025-05-21</c:v>
                </c:pt>
                <c:pt idx="94">
                  <c:v>2025-05-22</c:v>
                </c:pt>
                <c:pt idx="95">
                  <c:v>2025-05-23</c:v>
                </c:pt>
                <c:pt idx="96">
                  <c:v>2025-05-26</c:v>
                </c:pt>
                <c:pt idx="97">
                  <c:v>2025-05-27</c:v>
                </c:pt>
                <c:pt idx="98">
                  <c:v>2025-05-28</c:v>
                </c:pt>
                <c:pt idx="99">
                  <c:v>2025-05-29</c:v>
                </c:pt>
                <c:pt idx="100">
                  <c:v>2025-05-30</c:v>
                </c:pt>
                <c:pt idx="101">
                  <c:v>2025-06-02</c:v>
                </c:pt>
                <c:pt idx="102">
                  <c:v>2025-06-03</c:v>
                </c:pt>
                <c:pt idx="103">
                  <c:v>2025-06-04</c:v>
                </c:pt>
                <c:pt idx="104">
                  <c:v>2025-06-05</c:v>
                </c:pt>
                <c:pt idx="105">
                  <c:v>2025-06-06</c:v>
                </c:pt>
                <c:pt idx="106">
                  <c:v>2025-06-09</c:v>
                </c:pt>
                <c:pt idx="107">
                  <c:v>2025-06-10</c:v>
                </c:pt>
                <c:pt idx="108">
                  <c:v>2025-06-11</c:v>
                </c:pt>
                <c:pt idx="109">
                  <c:v>2025-06-12</c:v>
                </c:pt>
                <c:pt idx="110">
                  <c:v>2025-06-13</c:v>
                </c:pt>
                <c:pt idx="111">
                  <c:v>2025-06-16</c:v>
                </c:pt>
                <c:pt idx="112">
                  <c:v>2025-06-17</c:v>
                </c:pt>
                <c:pt idx="113">
                  <c:v>2025-06-18</c:v>
                </c:pt>
                <c:pt idx="114">
                  <c:v>2025-06-19</c:v>
                </c:pt>
                <c:pt idx="115">
                  <c:v>2025-06-20</c:v>
                </c:pt>
                <c:pt idx="116">
                  <c:v>2025-06-23</c:v>
                </c:pt>
                <c:pt idx="117">
                  <c:v>2025-06-24</c:v>
                </c:pt>
                <c:pt idx="118">
                  <c:v>2025-06-25</c:v>
                </c:pt>
                <c:pt idx="119">
                  <c:v>2025-06-26</c:v>
                </c:pt>
                <c:pt idx="120">
                  <c:v>2025-06-27</c:v>
                </c:pt>
                <c:pt idx="121">
                  <c:v>2025-06-30</c:v>
                </c:pt>
                <c:pt idx="122">
                  <c:v>2025-07-01</c:v>
                </c:pt>
                <c:pt idx="123">
                  <c:v>2025-07-02</c:v>
                </c:pt>
                <c:pt idx="124">
                  <c:v>2025-07-03</c:v>
                </c:pt>
                <c:pt idx="125">
                  <c:v>2025-07-04</c:v>
                </c:pt>
                <c:pt idx="126">
                  <c:v>2025-07-07</c:v>
                </c:pt>
                <c:pt idx="127">
                  <c:v>2025-07-08</c:v>
                </c:pt>
                <c:pt idx="128">
                  <c:v>2025-07-09</c:v>
                </c:pt>
                <c:pt idx="129">
                  <c:v>2025-07-10</c:v>
                </c:pt>
                <c:pt idx="130">
                  <c:v>2025-07-11</c:v>
                </c:pt>
                <c:pt idx="131">
                  <c:v>2025-07-14</c:v>
                </c:pt>
                <c:pt idx="132">
                  <c:v>2025-07-15</c:v>
                </c:pt>
                <c:pt idx="133">
                  <c:v>2025-07-16</c:v>
                </c:pt>
                <c:pt idx="134">
                  <c:v>2025-07-17</c:v>
                </c:pt>
                <c:pt idx="135">
                  <c:v>2025-07-18</c:v>
                </c:pt>
                <c:pt idx="136">
                  <c:v>2025-07-21</c:v>
                </c:pt>
                <c:pt idx="137">
                  <c:v>2025-07-22</c:v>
                </c:pt>
                <c:pt idx="138">
                  <c:v>2025-07-23</c:v>
                </c:pt>
                <c:pt idx="139">
                  <c:v>2025-07-24</c:v>
                </c:pt>
                <c:pt idx="140">
                  <c:v>2025-07-25</c:v>
                </c:pt>
                <c:pt idx="141">
                  <c:v>2025-07-28</c:v>
                </c:pt>
                <c:pt idx="142">
                  <c:v>2025-07-29</c:v>
                </c:pt>
                <c:pt idx="143">
                  <c:v>2025-07-30</c:v>
                </c:pt>
                <c:pt idx="144">
                  <c:v>2025-07-31</c:v>
                </c:pt>
                <c:pt idx="145">
                  <c:v>2025-08-01</c:v>
                </c:pt>
                <c:pt idx="146">
                  <c:v>2025-08-04</c:v>
                </c:pt>
                <c:pt idx="147">
                  <c:v>2025-08-05</c:v>
                </c:pt>
                <c:pt idx="148">
                  <c:v>2025-08-06</c:v>
                </c:pt>
                <c:pt idx="149">
                  <c:v>2025-08-07</c:v>
                </c:pt>
                <c:pt idx="150">
                  <c:v>2025-08-08</c:v>
                </c:pt>
                <c:pt idx="151">
                  <c:v>2025-08-11</c:v>
                </c:pt>
                <c:pt idx="152">
                  <c:v>2025-08-12</c:v>
                </c:pt>
                <c:pt idx="153">
                  <c:v>2025-08-13</c:v>
                </c:pt>
                <c:pt idx="154">
                  <c:v>2025-08-14</c:v>
                </c:pt>
                <c:pt idx="155">
                  <c:v>2025-08-15</c:v>
                </c:pt>
                <c:pt idx="156">
                  <c:v>2025-08-18</c:v>
                </c:pt>
                <c:pt idx="157">
                  <c:v>2025-08-19</c:v>
                </c:pt>
                <c:pt idx="158">
                  <c:v>2025-08-20</c:v>
                </c:pt>
                <c:pt idx="159">
                  <c:v>2025-08-21</c:v>
                </c:pt>
                <c:pt idx="160">
                  <c:v>2025-08-22</c:v>
                </c:pt>
                <c:pt idx="161">
                  <c:v>2025-08-25</c:v>
                </c:pt>
                <c:pt idx="162">
                  <c:v>2025-08-26</c:v>
                </c:pt>
                <c:pt idx="163">
                  <c:v>2025-08-27</c:v>
                </c:pt>
                <c:pt idx="164">
                  <c:v>2025-08-28</c:v>
                </c:pt>
                <c:pt idx="165">
                  <c:v>2025-08-29</c:v>
                </c:pt>
                <c:pt idx="166">
                  <c:v>2025-09-01</c:v>
                </c:pt>
                <c:pt idx="167">
                  <c:v>2025-09-02</c:v>
                </c:pt>
                <c:pt idx="168">
                  <c:v>2025-09-03</c:v>
                </c:pt>
                <c:pt idx="169">
                  <c:v>2025-09-04</c:v>
                </c:pt>
                <c:pt idx="170">
                  <c:v>2025-09-05</c:v>
                </c:pt>
                <c:pt idx="171">
                  <c:v>2025-09-08</c:v>
                </c:pt>
                <c:pt idx="172">
                  <c:v>2025-09-09</c:v>
                </c:pt>
                <c:pt idx="173">
                  <c:v>2025-09-10</c:v>
                </c:pt>
                <c:pt idx="174">
                  <c:v>2025-09-11</c:v>
                </c:pt>
                <c:pt idx="175">
                  <c:v>2025-09-12</c:v>
                </c:pt>
                <c:pt idx="176">
                  <c:v>2025-09-15</c:v>
                </c:pt>
                <c:pt idx="177">
                  <c:v>2025-09-16</c:v>
                </c:pt>
                <c:pt idx="178">
                  <c:v>2025-09-17</c:v>
                </c:pt>
                <c:pt idx="179">
                  <c:v>2025-09-18</c:v>
                </c:pt>
                <c:pt idx="180">
                  <c:v>2025-09-19</c:v>
                </c:pt>
                <c:pt idx="181">
                  <c:v>2025-09-22</c:v>
                </c:pt>
                <c:pt idx="182">
                  <c:v>2025-09-23</c:v>
                </c:pt>
                <c:pt idx="183">
                  <c:v>2025-09-24</c:v>
                </c:pt>
                <c:pt idx="184">
                  <c:v>2025-09-25</c:v>
                </c:pt>
                <c:pt idx="185">
                  <c:v>2025-09-26</c:v>
                </c:pt>
                <c:pt idx="186">
                  <c:v>2025-09-29</c:v>
                </c:pt>
                <c:pt idx="187">
                  <c:v>2025-09-30</c:v>
                </c:pt>
                <c:pt idx="188">
                  <c:v>2025-10-01</c:v>
                </c:pt>
                <c:pt idx="189">
                  <c:v>2025-10-02</c:v>
                </c:pt>
                <c:pt idx="190">
                  <c:v>2025-10-03</c:v>
                </c:pt>
                <c:pt idx="191">
                  <c:v>2025-10-06</c:v>
                </c:pt>
                <c:pt idx="192">
                  <c:v>2025-10-07</c:v>
                </c:pt>
                <c:pt idx="193">
                  <c:v>2025-10-08</c:v>
                </c:pt>
                <c:pt idx="194">
                  <c:v>2025-10-09</c:v>
                </c:pt>
                <c:pt idx="195">
                  <c:v>2025-10-10</c:v>
                </c:pt>
                <c:pt idx="196">
                  <c:v>2025-10-13</c:v>
                </c:pt>
                <c:pt idx="197">
                  <c:v>2025-10-14</c:v>
                </c:pt>
              </c:strCache>
            </c:strRef>
          </c:cat>
          <c:val>
            <c:numRef>
              <c:f>daily_pnl_pairs!$C$2:$C$199</c:f>
              <c:numCache>
                <c:formatCode>General</c:formatCode>
                <c:ptCount val="198"/>
                <c:pt idx="0">
                  <c:v>-7616587</c:v>
                </c:pt>
                <c:pt idx="1">
                  <c:v>-7616587</c:v>
                </c:pt>
                <c:pt idx="2">
                  <c:v>-7616587</c:v>
                </c:pt>
                <c:pt idx="3">
                  <c:v>-7616587</c:v>
                </c:pt>
                <c:pt idx="4">
                  <c:v>-7616587</c:v>
                </c:pt>
                <c:pt idx="5">
                  <c:v>-7616587</c:v>
                </c:pt>
                <c:pt idx="6">
                  <c:v>-7616587</c:v>
                </c:pt>
                <c:pt idx="7">
                  <c:v>-7616587</c:v>
                </c:pt>
                <c:pt idx="8">
                  <c:v>-7616587</c:v>
                </c:pt>
                <c:pt idx="9">
                  <c:v>-7616587</c:v>
                </c:pt>
                <c:pt idx="10">
                  <c:v>-7616587</c:v>
                </c:pt>
                <c:pt idx="11">
                  <c:v>-7616587</c:v>
                </c:pt>
                <c:pt idx="12">
                  <c:v>-7616587</c:v>
                </c:pt>
                <c:pt idx="13">
                  <c:v>-7616587</c:v>
                </c:pt>
                <c:pt idx="14">
                  <c:v>-7616587</c:v>
                </c:pt>
                <c:pt idx="15">
                  <c:v>-7616587</c:v>
                </c:pt>
                <c:pt idx="16">
                  <c:v>-7616587</c:v>
                </c:pt>
                <c:pt idx="17">
                  <c:v>-7616587</c:v>
                </c:pt>
                <c:pt idx="18">
                  <c:v>-7616587</c:v>
                </c:pt>
                <c:pt idx="19">
                  <c:v>-7616587</c:v>
                </c:pt>
                <c:pt idx="20">
                  <c:v>-7616587</c:v>
                </c:pt>
                <c:pt idx="21">
                  <c:v>-7616587</c:v>
                </c:pt>
                <c:pt idx="22">
                  <c:v>-7616587</c:v>
                </c:pt>
                <c:pt idx="23">
                  <c:v>-7616587</c:v>
                </c:pt>
                <c:pt idx="24">
                  <c:v>-7616587</c:v>
                </c:pt>
                <c:pt idx="25">
                  <c:v>-7616587</c:v>
                </c:pt>
                <c:pt idx="26">
                  <c:v>-3105875</c:v>
                </c:pt>
                <c:pt idx="27">
                  <c:v>-7616587</c:v>
                </c:pt>
                <c:pt idx="28">
                  <c:v>-7616587</c:v>
                </c:pt>
                <c:pt idx="29">
                  <c:v>-7616587</c:v>
                </c:pt>
                <c:pt idx="30">
                  <c:v>-7616587</c:v>
                </c:pt>
                <c:pt idx="31">
                  <c:v>-7616587</c:v>
                </c:pt>
                <c:pt idx="32">
                  <c:v>-7616587</c:v>
                </c:pt>
                <c:pt idx="33">
                  <c:v>-7616587</c:v>
                </c:pt>
                <c:pt idx="34">
                  <c:v>-7616587</c:v>
                </c:pt>
                <c:pt idx="35">
                  <c:v>-7616587</c:v>
                </c:pt>
                <c:pt idx="36">
                  <c:v>-7616587</c:v>
                </c:pt>
                <c:pt idx="37">
                  <c:v>-7616587</c:v>
                </c:pt>
                <c:pt idx="38">
                  <c:v>-7616587</c:v>
                </c:pt>
                <c:pt idx="39">
                  <c:v>-7616587</c:v>
                </c:pt>
                <c:pt idx="40">
                  <c:v>-7616587</c:v>
                </c:pt>
                <c:pt idx="41">
                  <c:v>-17434636</c:v>
                </c:pt>
                <c:pt idx="42">
                  <c:v>-17434636</c:v>
                </c:pt>
                <c:pt idx="43">
                  <c:v>-17434636</c:v>
                </c:pt>
                <c:pt idx="44">
                  <c:v>-17434636</c:v>
                </c:pt>
                <c:pt idx="45">
                  <c:v>-17434636</c:v>
                </c:pt>
                <c:pt idx="46">
                  <c:v>-17434636</c:v>
                </c:pt>
                <c:pt idx="47">
                  <c:v>-17434636</c:v>
                </c:pt>
                <c:pt idx="48">
                  <c:v>-17434636</c:v>
                </c:pt>
                <c:pt idx="49">
                  <c:v>-17434636</c:v>
                </c:pt>
                <c:pt idx="50">
                  <c:v>-19081108</c:v>
                </c:pt>
                <c:pt idx="51">
                  <c:v>-19081108</c:v>
                </c:pt>
                <c:pt idx="52">
                  <c:v>-19081108</c:v>
                </c:pt>
                <c:pt idx="53">
                  <c:v>-19081108</c:v>
                </c:pt>
                <c:pt idx="54">
                  <c:v>-19081108</c:v>
                </c:pt>
                <c:pt idx="55">
                  <c:v>-19081108</c:v>
                </c:pt>
                <c:pt idx="56">
                  <c:v>-19081108</c:v>
                </c:pt>
                <c:pt idx="57">
                  <c:v>-19081108</c:v>
                </c:pt>
                <c:pt idx="58">
                  <c:v>-19081108</c:v>
                </c:pt>
                <c:pt idx="59">
                  <c:v>-19081108</c:v>
                </c:pt>
                <c:pt idx="60">
                  <c:v>-19081108</c:v>
                </c:pt>
                <c:pt idx="61">
                  <c:v>-19081108</c:v>
                </c:pt>
                <c:pt idx="62">
                  <c:v>-21957298</c:v>
                </c:pt>
                <c:pt idx="63">
                  <c:v>-21957298</c:v>
                </c:pt>
                <c:pt idx="64">
                  <c:v>-21957298</c:v>
                </c:pt>
                <c:pt idx="65">
                  <c:v>-21957298</c:v>
                </c:pt>
                <c:pt idx="66">
                  <c:v>-30606720</c:v>
                </c:pt>
                <c:pt idx="67">
                  <c:v>-30606720</c:v>
                </c:pt>
                <c:pt idx="68">
                  <c:v>-30606720</c:v>
                </c:pt>
                <c:pt idx="69">
                  <c:v>-30606720</c:v>
                </c:pt>
                <c:pt idx="70">
                  <c:v>-12637527</c:v>
                </c:pt>
                <c:pt idx="71">
                  <c:v>-27730530</c:v>
                </c:pt>
                <c:pt idx="72">
                  <c:v>-30606720</c:v>
                </c:pt>
                <c:pt idx="73">
                  <c:v>-30606720</c:v>
                </c:pt>
                <c:pt idx="74">
                  <c:v>-30606720</c:v>
                </c:pt>
                <c:pt idx="75">
                  <c:v>-30606720</c:v>
                </c:pt>
                <c:pt idx="76">
                  <c:v>-30606720</c:v>
                </c:pt>
                <c:pt idx="77">
                  <c:v>-30606720</c:v>
                </c:pt>
                <c:pt idx="78">
                  <c:v>-30606720</c:v>
                </c:pt>
                <c:pt idx="79">
                  <c:v>-30606720</c:v>
                </c:pt>
                <c:pt idx="80">
                  <c:v>-30606720</c:v>
                </c:pt>
                <c:pt idx="81">
                  <c:v>-30606720</c:v>
                </c:pt>
                <c:pt idx="82">
                  <c:v>-30606720</c:v>
                </c:pt>
                <c:pt idx="83">
                  <c:v>-30606720</c:v>
                </c:pt>
                <c:pt idx="84">
                  <c:v>-30606720</c:v>
                </c:pt>
                <c:pt idx="85">
                  <c:v>-30606720</c:v>
                </c:pt>
                <c:pt idx="86">
                  <c:v>-30606720</c:v>
                </c:pt>
                <c:pt idx="87">
                  <c:v>-30606720</c:v>
                </c:pt>
                <c:pt idx="88">
                  <c:v>-30606720</c:v>
                </c:pt>
                <c:pt idx="89">
                  <c:v>-30606720</c:v>
                </c:pt>
                <c:pt idx="90">
                  <c:v>-30606720</c:v>
                </c:pt>
                <c:pt idx="91">
                  <c:v>-12637527</c:v>
                </c:pt>
                <c:pt idx="92">
                  <c:v>-30606720</c:v>
                </c:pt>
                <c:pt idx="93">
                  <c:v>-30606720</c:v>
                </c:pt>
                <c:pt idx="94">
                  <c:v>-36082057</c:v>
                </c:pt>
                <c:pt idx="95">
                  <c:v>-36082057</c:v>
                </c:pt>
                <c:pt idx="96">
                  <c:v>-36082057</c:v>
                </c:pt>
                <c:pt idx="97">
                  <c:v>-36082057</c:v>
                </c:pt>
                <c:pt idx="98">
                  <c:v>-36082057</c:v>
                </c:pt>
                <c:pt idx="99">
                  <c:v>-36082057</c:v>
                </c:pt>
                <c:pt idx="100">
                  <c:v>-36082057</c:v>
                </c:pt>
                <c:pt idx="101">
                  <c:v>-36082057</c:v>
                </c:pt>
                <c:pt idx="102">
                  <c:v>-12637527</c:v>
                </c:pt>
                <c:pt idx="103">
                  <c:v>-36082057</c:v>
                </c:pt>
                <c:pt idx="104">
                  <c:v>-36082057</c:v>
                </c:pt>
                <c:pt idx="105">
                  <c:v>-36082057</c:v>
                </c:pt>
                <c:pt idx="106">
                  <c:v>-36082057</c:v>
                </c:pt>
                <c:pt idx="107">
                  <c:v>-36082057</c:v>
                </c:pt>
                <c:pt idx="108">
                  <c:v>-36082057</c:v>
                </c:pt>
                <c:pt idx="109">
                  <c:v>-36082057</c:v>
                </c:pt>
                <c:pt idx="110">
                  <c:v>-36082057</c:v>
                </c:pt>
                <c:pt idx="111">
                  <c:v>-36082057</c:v>
                </c:pt>
                <c:pt idx="112">
                  <c:v>-36082057</c:v>
                </c:pt>
                <c:pt idx="113">
                  <c:v>-36082057</c:v>
                </c:pt>
                <c:pt idx="114">
                  <c:v>-43156533</c:v>
                </c:pt>
                <c:pt idx="115">
                  <c:v>-43156533</c:v>
                </c:pt>
                <c:pt idx="116">
                  <c:v>-43156533</c:v>
                </c:pt>
                <c:pt idx="117">
                  <c:v>-43156533</c:v>
                </c:pt>
                <c:pt idx="118">
                  <c:v>-43156533</c:v>
                </c:pt>
                <c:pt idx="119">
                  <c:v>-43156533</c:v>
                </c:pt>
                <c:pt idx="120">
                  <c:v>-43156533</c:v>
                </c:pt>
                <c:pt idx="121">
                  <c:v>-43156533</c:v>
                </c:pt>
                <c:pt idx="122">
                  <c:v>-19712003</c:v>
                </c:pt>
                <c:pt idx="123">
                  <c:v>-43156533</c:v>
                </c:pt>
                <c:pt idx="124">
                  <c:v>-43156533</c:v>
                </c:pt>
                <c:pt idx="125">
                  <c:v>-43156533</c:v>
                </c:pt>
                <c:pt idx="126">
                  <c:v>-43156533</c:v>
                </c:pt>
                <c:pt idx="127">
                  <c:v>-43156533</c:v>
                </c:pt>
                <c:pt idx="128">
                  <c:v>-43156533</c:v>
                </c:pt>
                <c:pt idx="129">
                  <c:v>-43156533</c:v>
                </c:pt>
                <c:pt idx="130">
                  <c:v>-43156533</c:v>
                </c:pt>
                <c:pt idx="131">
                  <c:v>-43156533</c:v>
                </c:pt>
                <c:pt idx="132">
                  <c:v>-43156533</c:v>
                </c:pt>
                <c:pt idx="133">
                  <c:v>-43156533</c:v>
                </c:pt>
                <c:pt idx="134">
                  <c:v>-43156533</c:v>
                </c:pt>
                <c:pt idx="135">
                  <c:v>-43156533</c:v>
                </c:pt>
                <c:pt idx="136">
                  <c:v>-43156533</c:v>
                </c:pt>
                <c:pt idx="137">
                  <c:v>-43156533</c:v>
                </c:pt>
                <c:pt idx="138">
                  <c:v>-43156533</c:v>
                </c:pt>
                <c:pt idx="139">
                  <c:v>-43156533</c:v>
                </c:pt>
                <c:pt idx="140">
                  <c:v>-43156533</c:v>
                </c:pt>
                <c:pt idx="141">
                  <c:v>-43156533</c:v>
                </c:pt>
                <c:pt idx="142">
                  <c:v>-43156533</c:v>
                </c:pt>
                <c:pt idx="143">
                  <c:v>-43156533</c:v>
                </c:pt>
                <c:pt idx="144">
                  <c:v>-43156533</c:v>
                </c:pt>
                <c:pt idx="145">
                  <c:v>-48065264</c:v>
                </c:pt>
                <c:pt idx="146">
                  <c:v>-23008719</c:v>
                </c:pt>
                <c:pt idx="147">
                  <c:v>-48065264</c:v>
                </c:pt>
                <c:pt idx="148">
                  <c:v>-48065264</c:v>
                </c:pt>
                <c:pt idx="149">
                  <c:v>-48065264</c:v>
                </c:pt>
                <c:pt idx="150">
                  <c:v>-48065264</c:v>
                </c:pt>
                <c:pt idx="151">
                  <c:v>-48065264</c:v>
                </c:pt>
                <c:pt idx="152">
                  <c:v>-48065264</c:v>
                </c:pt>
                <c:pt idx="153">
                  <c:v>-48065264</c:v>
                </c:pt>
                <c:pt idx="154">
                  <c:v>-48065264</c:v>
                </c:pt>
                <c:pt idx="155">
                  <c:v>-48065264</c:v>
                </c:pt>
                <c:pt idx="156">
                  <c:v>-48065264</c:v>
                </c:pt>
                <c:pt idx="157">
                  <c:v>-48065264</c:v>
                </c:pt>
                <c:pt idx="158">
                  <c:v>-48065264</c:v>
                </c:pt>
                <c:pt idx="159">
                  <c:v>-48065264</c:v>
                </c:pt>
                <c:pt idx="160">
                  <c:v>-48065264</c:v>
                </c:pt>
                <c:pt idx="161">
                  <c:v>-48065264</c:v>
                </c:pt>
                <c:pt idx="162">
                  <c:v>-48065264</c:v>
                </c:pt>
                <c:pt idx="163">
                  <c:v>-48065264</c:v>
                </c:pt>
                <c:pt idx="164">
                  <c:v>-48065264</c:v>
                </c:pt>
                <c:pt idx="165">
                  <c:v>-48065264</c:v>
                </c:pt>
                <c:pt idx="166">
                  <c:v>-26586220</c:v>
                </c:pt>
                <c:pt idx="167">
                  <c:v>-51642765</c:v>
                </c:pt>
                <c:pt idx="168">
                  <c:v>-51642765</c:v>
                </c:pt>
                <c:pt idx="169">
                  <c:v>-51642765</c:v>
                </c:pt>
                <c:pt idx="170">
                  <c:v>-51642765</c:v>
                </c:pt>
                <c:pt idx="171">
                  <c:v>-51642765</c:v>
                </c:pt>
                <c:pt idx="172">
                  <c:v>-51642765</c:v>
                </c:pt>
                <c:pt idx="173">
                  <c:v>-51642765</c:v>
                </c:pt>
                <c:pt idx="174">
                  <c:v>-51642765</c:v>
                </c:pt>
                <c:pt idx="175">
                  <c:v>-51642765</c:v>
                </c:pt>
                <c:pt idx="176">
                  <c:v>-51642765</c:v>
                </c:pt>
                <c:pt idx="177">
                  <c:v>-51642765</c:v>
                </c:pt>
                <c:pt idx="178">
                  <c:v>-51642765</c:v>
                </c:pt>
                <c:pt idx="179">
                  <c:v>-51642765</c:v>
                </c:pt>
                <c:pt idx="180">
                  <c:v>-51642765</c:v>
                </c:pt>
                <c:pt idx="181">
                  <c:v>-51642765</c:v>
                </c:pt>
                <c:pt idx="182">
                  <c:v>-51642765</c:v>
                </c:pt>
                <c:pt idx="183">
                  <c:v>-51642765</c:v>
                </c:pt>
                <c:pt idx="184">
                  <c:v>-56247851</c:v>
                </c:pt>
                <c:pt idx="185">
                  <c:v>-56247851</c:v>
                </c:pt>
                <c:pt idx="186">
                  <c:v>-56247851</c:v>
                </c:pt>
                <c:pt idx="187">
                  <c:v>-31191306</c:v>
                </c:pt>
                <c:pt idx="188">
                  <c:v>-56247851</c:v>
                </c:pt>
                <c:pt idx="189">
                  <c:v>-56247851</c:v>
                </c:pt>
                <c:pt idx="190">
                  <c:v>-56247851</c:v>
                </c:pt>
                <c:pt idx="191">
                  <c:v>-56247851</c:v>
                </c:pt>
                <c:pt idx="192">
                  <c:v>-56247851</c:v>
                </c:pt>
                <c:pt idx="193">
                  <c:v>-56247851</c:v>
                </c:pt>
                <c:pt idx="194">
                  <c:v>-56247851</c:v>
                </c:pt>
                <c:pt idx="195">
                  <c:v>-58461169</c:v>
                </c:pt>
                <c:pt idx="196">
                  <c:v>-31191306</c:v>
                </c:pt>
                <c:pt idx="197">
                  <c:v>-31191306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DE-4E96-B4E8-BA217DB3B100}"/>
            </c:ext>
          </c:extLst>
        </c:ser>
        <c:ser>
          <c:idx val="2"/>
          <c:order val="2"/>
          <c:tx>
            <c:strRef>
              <c:f>daily_pnl_pairs!$E$1</c:f>
              <c:strCache>
                <c:ptCount val="1"/>
                <c:pt idx="0">
                  <c:v>cash usage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daily_pnl_pairs!$A$2:$A$199</c:f>
              <c:strCache>
                <c:ptCount val="198"/>
                <c:pt idx="0">
                  <c:v>2025-01-10</c:v>
                </c:pt>
                <c:pt idx="1">
                  <c:v>2025-01-13</c:v>
                </c:pt>
                <c:pt idx="2">
                  <c:v>2025-01-14</c:v>
                </c:pt>
                <c:pt idx="3">
                  <c:v>2025-01-15</c:v>
                </c:pt>
                <c:pt idx="4">
                  <c:v>2025-01-16</c:v>
                </c:pt>
                <c:pt idx="5">
                  <c:v>2025-01-17</c:v>
                </c:pt>
                <c:pt idx="6">
                  <c:v>2025-01-20</c:v>
                </c:pt>
                <c:pt idx="7">
                  <c:v>2025-01-21</c:v>
                </c:pt>
                <c:pt idx="8">
                  <c:v>2025-01-22</c:v>
                </c:pt>
                <c:pt idx="9">
                  <c:v>2025-01-23</c:v>
                </c:pt>
                <c:pt idx="10">
                  <c:v>2025-01-24</c:v>
                </c:pt>
                <c:pt idx="11">
                  <c:v>2025-01-27</c:v>
                </c:pt>
                <c:pt idx="12">
                  <c:v>2025-01-28</c:v>
                </c:pt>
                <c:pt idx="13">
                  <c:v>2025-01-29</c:v>
                </c:pt>
                <c:pt idx="14">
                  <c:v>2025-01-30</c:v>
                </c:pt>
                <c:pt idx="15">
                  <c:v>2025-01-31</c:v>
                </c:pt>
                <c:pt idx="16">
                  <c:v>2025-02-03</c:v>
                </c:pt>
                <c:pt idx="17">
                  <c:v>2025-02-04</c:v>
                </c:pt>
                <c:pt idx="18">
                  <c:v>2025-02-05</c:v>
                </c:pt>
                <c:pt idx="19">
                  <c:v>2025-02-06</c:v>
                </c:pt>
                <c:pt idx="20">
                  <c:v>2025-02-07</c:v>
                </c:pt>
                <c:pt idx="21">
                  <c:v>2025-02-10</c:v>
                </c:pt>
                <c:pt idx="22">
                  <c:v>2025-02-11</c:v>
                </c:pt>
                <c:pt idx="23">
                  <c:v>2025-02-12</c:v>
                </c:pt>
                <c:pt idx="24">
                  <c:v>2025-02-13</c:v>
                </c:pt>
                <c:pt idx="25">
                  <c:v>2025-02-14</c:v>
                </c:pt>
                <c:pt idx="26">
                  <c:v>2025-02-17</c:v>
                </c:pt>
                <c:pt idx="27">
                  <c:v>2025-02-18</c:v>
                </c:pt>
                <c:pt idx="28">
                  <c:v>2025-02-19</c:v>
                </c:pt>
                <c:pt idx="29">
                  <c:v>2025-02-20</c:v>
                </c:pt>
                <c:pt idx="30">
                  <c:v>2025-02-21</c:v>
                </c:pt>
                <c:pt idx="31">
                  <c:v>2025-02-24</c:v>
                </c:pt>
                <c:pt idx="32">
                  <c:v>2025-02-25</c:v>
                </c:pt>
                <c:pt idx="33">
                  <c:v>2025-02-26</c:v>
                </c:pt>
                <c:pt idx="34">
                  <c:v>2025-02-27</c:v>
                </c:pt>
                <c:pt idx="35">
                  <c:v>2025-02-28</c:v>
                </c:pt>
                <c:pt idx="36">
                  <c:v>2025-03-03</c:v>
                </c:pt>
                <c:pt idx="37">
                  <c:v>2025-03-04</c:v>
                </c:pt>
                <c:pt idx="38">
                  <c:v>2025-03-05</c:v>
                </c:pt>
                <c:pt idx="39">
                  <c:v>2025-03-06</c:v>
                </c:pt>
                <c:pt idx="40">
                  <c:v>2025-03-07</c:v>
                </c:pt>
                <c:pt idx="41">
                  <c:v>2025-03-10</c:v>
                </c:pt>
                <c:pt idx="42">
                  <c:v>2025-03-11</c:v>
                </c:pt>
                <c:pt idx="43">
                  <c:v>2025-03-12</c:v>
                </c:pt>
                <c:pt idx="44">
                  <c:v>2025-03-13</c:v>
                </c:pt>
                <c:pt idx="45">
                  <c:v>2025-03-14</c:v>
                </c:pt>
                <c:pt idx="46">
                  <c:v>2025-03-17</c:v>
                </c:pt>
                <c:pt idx="47">
                  <c:v>2025-03-18</c:v>
                </c:pt>
                <c:pt idx="48">
                  <c:v>2025-03-19</c:v>
                </c:pt>
                <c:pt idx="49">
                  <c:v>2025-03-20</c:v>
                </c:pt>
                <c:pt idx="50">
                  <c:v>2025-03-21</c:v>
                </c:pt>
                <c:pt idx="51">
                  <c:v>2025-03-24</c:v>
                </c:pt>
                <c:pt idx="52">
                  <c:v>2025-03-25</c:v>
                </c:pt>
                <c:pt idx="53">
                  <c:v>2025-03-26</c:v>
                </c:pt>
                <c:pt idx="54">
                  <c:v>2025-03-27</c:v>
                </c:pt>
                <c:pt idx="55">
                  <c:v>2025-03-28</c:v>
                </c:pt>
                <c:pt idx="56">
                  <c:v>2025-03-31</c:v>
                </c:pt>
                <c:pt idx="57">
                  <c:v>2025-04-01</c:v>
                </c:pt>
                <c:pt idx="58">
                  <c:v>2025-04-02</c:v>
                </c:pt>
                <c:pt idx="59">
                  <c:v>2025-04-03</c:v>
                </c:pt>
                <c:pt idx="60">
                  <c:v>2025-04-04</c:v>
                </c:pt>
                <c:pt idx="61">
                  <c:v>2025-04-07</c:v>
                </c:pt>
                <c:pt idx="62">
                  <c:v>2025-04-08</c:v>
                </c:pt>
                <c:pt idx="63">
                  <c:v>2025-04-09</c:v>
                </c:pt>
                <c:pt idx="64">
                  <c:v>2025-04-10</c:v>
                </c:pt>
                <c:pt idx="65">
                  <c:v>2025-04-11</c:v>
                </c:pt>
                <c:pt idx="66">
                  <c:v>2025-04-14</c:v>
                </c:pt>
                <c:pt idx="67">
                  <c:v>2025-04-15</c:v>
                </c:pt>
                <c:pt idx="68">
                  <c:v>2025-04-16</c:v>
                </c:pt>
                <c:pt idx="69">
                  <c:v>2025-04-17</c:v>
                </c:pt>
                <c:pt idx="70">
                  <c:v>2025-04-18</c:v>
                </c:pt>
                <c:pt idx="71">
                  <c:v>2025-04-21</c:v>
                </c:pt>
                <c:pt idx="72">
                  <c:v>2025-04-22</c:v>
                </c:pt>
                <c:pt idx="73">
                  <c:v>2025-04-23</c:v>
                </c:pt>
                <c:pt idx="74">
                  <c:v>2025-04-24</c:v>
                </c:pt>
                <c:pt idx="75">
                  <c:v>2025-04-25</c:v>
                </c:pt>
                <c:pt idx="76">
                  <c:v>2025-04-28</c:v>
                </c:pt>
                <c:pt idx="77">
                  <c:v>2025-04-29</c:v>
                </c:pt>
                <c:pt idx="78">
                  <c:v>2025-04-30</c:v>
                </c:pt>
                <c:pt idx="79">
                  <c:v>2025-05-01</c:v>
                </c:pt>
                <c:pt idx="80">
                  <c:v>2025-05-02</c:v>
                </c:pt>
                <c:pt idx="81">
                  <c:v>2025-05-05</c:v>
                </c:pt>
                <c:pt idx="82">
                  <c:v>2025-05-06</c:v>
                </c:pt>
                <c:pt idx="83">
                  <c:v>2025-05-07</c:v>
                </c:pt>
                <c:pt idx="84">
                  <c:v>2025-05-08</c:v>
                </c:pt>
                <c:pt idx="85">
                  <c:v>2025-05-09</c:v>
                </c:pt>
                <c:pt idx="86">
                  <c:v>2025-05-12</c:v>
                </c:pt>
                <c:pt idx="87">
                  <c:v>2025-05-13</c:v>
                </c:pt>
                <c:pt idx="88">
                  <c:v>2025-05-14</c:v>
                </c:pt>
                <c:pt idx="89">
                  <c:v>2025-05-15</c:v>
                </c:pt>
                <c:pt idx="90">
                  <c:v>2025-05-16</c:v>
                </c:pt>
                <c:pt idx="91">
                  <c:v>2025-05-19</c:v>
                </c:pt>
                <c:pt idx="92">
                  <c:v>2025-05-20</c:v>
                </c:pt>
                <c:pt idx="93">
                  <c:v>2025-05-21</c:v>
                </c:pt>
                <c:pt idx="94">
                  <c:v>2025-05-22</c:v>
                </c:pt>
                <c:pt idx="95">
                  <c:v>2025-05-23</c:v>
                </c:pt>
                <c:pt idx="96">
                  <c:v>2025-05-26</c:v>
                </c:pt>
                <c:pt idx="97">
                  <c:v>2025-05-27</c:v>
                </c:pt>
                <c:pt idx="98">
                  <c:v>2025-05-28</c:v>
                </c:pt>
                <c:pt idx="99">
                  <c:v>2025-05-29</c:v>
                </c:pt>
                <c:pt idx="100">
                  <c:v>2025-05-30</c:v>
                </c:pt>
                <c:pt idx="101">
                  <c:v>2025-06-02</c:v>
                </c:pt>
                <c:pt idx="102">
                  <c:v>2025-06-03</c:v>
                </c:pt>
                <c:pt idx="103">
                  <c:v>2025-06-04</c:v>
                </c:pt>
                <c:pt idx="104">
                  <c:v>2025-06-05</c:v>
                </c:pt>
                <c:pt idx="105">
                  <c:v>2025-06-06</c:v>
                </c:pt>
                <c:pt idx="106">
                  <c:v>2025-06-09</c:v>
                </c:pt>
                <c:pt idx="107">
                  <c:v>2025-06-10</c:v>
                </c:pt>
                <c:pt idx="108">
                  <c:v>2025-06-11</c:v>
                </c:pt>
                <c:pt idx="109">
                  <c:v>2025-06-12</c:v>
                </c:pt>
                <c:pt idx="110">
                  <c:v>2025-06-13</c:v>
                </c:pt>
                <c:pt idx="111">
                  <c:v>2025-06-16</c:v>
                </c:pt>
                <c:pt idx="112">
                  <c:v>2025-06-17</c:v>
                </c:pt>
                <c:pt idx="113">
                  <c:v>2025-06-18</c:v>
                </c:pt>
                <c:pt idx="114">
                  <c:v>2025-06-19</c:v>
                </c:pt>
                <c:pt idx="115">
                  <c:v>2025-06-20</c:v>
                </c:pt>
                <c:pt idx="116">
                  <c:v>2025-06-23</c:v>
                </c:pt>
                <c:pt idx="117">
                  <c:v>2025-06-24</c:v>
                </c:pt>
                <c:pt idx="118">
                  <c:v>2025-06-25</c:v>
                </c:pt>
                <c:pt idx="119">
                  <c:v>2025-06-26</c:v>
                </c:pt>
                <c:pt idx="120">
                  <c:v>2025-06-27</c:v>
                </c:pt>
                <c:pt idx="121">
                  <c:v>2025-06-30</c:v>
                </c:pt>
                <c:pt idx="122">
                  <c:v>2025-07-01</c:v>
                </c:pt>
                <c:pt idx="123">
                  <c:v>2025-07-02</c:v>
                </c:pt>
                <c:pt idx="124">
                  <c:v>2025-07-03</c:v>
                </c:pt>
                <c:pt idx="125">
                  <c:v>2025-07-04</c:v>
                </c:pt>
                <c:pt idx="126">
                  <c:v>2025-07-07</c:v>
                </c:pt>
                <c:pt idx="127">
                  <c:v>2025-07-08</c:v>
                </c:pt>
                <c:pt idx="128">
                  <c:v>2025-07-09</c:v>
                </c:pt>
                <c:pt idx="129">
                  <c:v>2025-07-10</c:v>
                </c:pt>
                <c:pt idx="130">
                  <c:v>2025-07-11</c:v>
                </c:pt>
                <c:pt idx="131">
                  <c:v>2025-07-14</c:v>
                </c:pt>
                <c:pt idx="132">
                  <c:v>2025-07-15</c:v>
                </c:pt>
                <c:pt idx="133">
                  <c:v>2025-07-16</c:v>
                </c:pt>
                <c:pt idx="134">
                  <c:v>2025-07-17</c:v>
                </c:pt>
                <c:pt idx="135">
                  <c:v>2025-07-18</c:v>
                </c:pt>
                <c:pt idx="136">
                  <c:v>2025-07-21</c:v>
                </c:pt>
                <c:pt idx="137">
                  <c:v>2025-07-22</c:v>
                </c:pt>
                <c:pt idx="138">
                  <c:v>2025-07-23</c:v>
                </c:pt>
                <c:pt idx="139">
                  <c:v>2025-07-24</c:v>
                </c:pt>
                <c:pt idx="140">
                  <c:v>2025-07-25</c:v>
                </c:pt>
                <c:pt idx="141">
                  <c:v>2025-07-28</c:v>
                </c:pt>
                <c:pt idx="142">
                  <c:v>2025-07-29</c:v>
                </c:pt>
                <c:pt idx="143">
                  <c:v>2025-07-30</c:v>
                </c:pt>
                <c:pt idx="144">
                  <c:v>2025-07-31</c:v>
                </c:pt>
                <c:pt idx="145">
                  <c:v>2025-08-01</c:v>
                </c:pt>
                <c:pt idx="146">
                  <c:v>2025-08-04</c:v>
                </c:pt>
                <c:pt idx="147">
                  <c:v>2025-08-05</c:v>
                </c:pt>
                <c:pt idx="148">
                  <c:v>2025-08-06</c:v>
                </c:pt>
                <c:pt idx="149">
                  <c:v>2025-08-07</c:v>
                </c:pt>
                <c:pt idx="150">
                  <c:v>2025-08-08</c:v>
                </c:pt>
                <c:pt idx="151">
                  <c:v>2025-08-11</c:v>
                </c:pt>
                <c:pt idx="152">
                  <c:v>2025-08-12</c:v>
                </c:pt>
                <c:pt idx="153">
                  <c:v>2025-08-13</c:v>
                </c:pt>
                <c:pt idx="154">
                  <c:v>2025-08-14</c:v>
                </c:pt>
                <c:pt idx="155">
                  <c:v>2025-08-15</c:v>
                </c:pt>
                <c:pt idx="156">
                  <c:v>2025-08-18</c:v>
                </c:pt>
                <c:pt idx="157">
                  <c:v>2025-08-19</c:v>
                </c:pt>
                <c:pt idx="158">
                  <c:v>2025-08-20</c:v>
                </c:pt>
                <c:pt idx="159">
                  <c:v>2025-08-21</c:v>
                </c:pt>
                <c:pt idx="160">
                  <c:v>2025-08-22</c:v>
                </c:pt>
                <c:pt idx="161">
                  <c:v>2025-08-25</c:v>
                </c:pt>
                <c:pt idx="162">
                  <c:v>2025-08-26</c:v>
                </c:pt>
                <c:pt idx="163">
                  <c:v>2025-08-27</c:v>
                </c:pt>
                <c:pt idx="164">
                  <c:v>2025-08-28</c:v>
                </c:pt>
                <c:pt idx="165">
                  <c:v>2025-08-29</c:v>
                </c:pt>
                <c:pt idx="166">
                  <c:v>2025-09-01</c:v>
                </c:pt>
                <c:pt idx="167">
                  <c:v>2025-09-02</c:v>
                </c:pt>
                <c:pt idx="168">
                  <c:v>2025-09-03</c:v>
                </c:pt>
                <c:pt idx="169">
                  <c:v>2025-09-04</c:v>
                </c:pt>
                <c:pt idx="170">
                  <c:v>2025-09-05</c:v>
                </c:pt>
                <c:pt idx="171">
                  <c:v>2025-09-08</c:v>
                </c:pt>
                <c:pt idx="172">
                  <c:v>2025-09-09</c:v>
                </c:pt>
                <c:pt idx="173">
                  <c:v>2025-09-10</c:v>
                </c:pt>
                <c:pt idx="174">
                  <c:v>2025-09-11</c:v>
                </c:pt>
                <c:pt idx="175">
                  <c:v>2025-09-12</c:v>
                </c:pt>
                <c:pt idx="176">
                  <c:v>2025-09-15</c:v>
                </c:pt>
                <c:pt idx="177">
                  <c:v>2025-09-16</c:v>
                </c:pt>
                <c:pt idx="178">
                  <c:v>2025-09-17</c:v>
                </c:pt>
                <c:pt idx="179">
                  <c:v>2025-09-18</c:v>
                </c:pt>
                <c:pt idx="180">
                  <c:v>2025-09-19</c:v>
                </c:pt>
                <c:pt idx="181">
                  <c:v>2025-09-22</c:v>
                </c:pt>
                <c:pt idx="182">
                  <c:v>2025-09-23</c:v>
                </c:pt>
                <c:pt idx="183">
                  <c:v>2025-09-24</c:v>
                </c:pt>
                <c:pt idx="184">
                  <c:v>2025-09-25</c:v>
                </c:pt>
                <c:pt idx="185">
                  <c:v>2025-09-26</c:v>
                </c:pt>
                <c:pt idx="186">
                  <c:v>2025-09-29</c:v>
                </c:pt>
                <c:pt idx="187">
                  <c:v>2025-09-30</c:v>
                </c:pt>
                <c:pt idx="188">
                  <c:v>2025-10-01</c:v>
                </c:pt>
                <c:pt idx="189">
                  <c:v>2025-10-02</c:v>
                </c:pt>
                <c:pt idx="190">
                  <c:v>2025-10-03</c:v>
                </c:pt>
                <c:pt idx="191">
                  <c:v>2025-10-06</c:v>
                </c:pt>
                <c:pt idx="192">
                  <c:v>2025-10-07</c:v>
                </c:pt>
                <c:pt idx="193">
                  <c:v>2025-10-08</c:v>
                </c:pt>
                <c:pt idx="194">
                  <c:v>2025-10-09</c:v>
                </c:pt>
                <c:pt idx="195">
                  <c:v>2025-10-10</c:v>
                </c:pt>
                <c:pt idx="196">
                  <c:v>2025-10-13</c:v>
                </c:pt>
                <c:pt idx="197">
                  <c:v>2025-10-14</c:v>
                </c:pt>
              </c:strCache>
            </c:strRef>
          </c:cat>
          <c:val>
            <c:numRef>
              <c:f>daily_pnl_pairs!$E$2:$E$199</c:f>
              <c:numCache>
                <c:formatCode>General</c:formatCode>
                <c:ptCount val="198"/>
                <c:pt idx="0">
                  <c:v>-1085643</c:v>
                </c:pt>
                <c:pt idx="1">
                  <c:v>-1004909</c:v>
                </c:pt>
                <c:pt idx="2">
                  <c:v>-1184367</c:v>
                </c:pt>
                <c:pt idx="3">
                  <c:v>-1614582</c:v>
                </c:pt>
                <c:pt idx="4">
                  <c:v>-1562610</c:v>
                </c:pt>
                <c:pt idx="5">
                  <c:v>-1679248</c:v>
                </c:pt>
                <c:pt idx="6">
                  <c:v>-1709054</c:v>
                </c:pt>
                <c:pt idx="7">
                  <c:v>-1902948</c:v>
                </c:pt>
                <c:pt idx="8">
                  <c:v>-1924129</c:v>
                </c:pt>
                <c:pt idx="9">
                  <c:v>-1948156</c:v>
                </c:pt>
                <c:pt idx="10">
                  <c:v>-1982237</c:v>
                </c:pt>
                <c:pt idx="11">
                  <c:v>-1835954</c:v>
                </c:pt>
                <c:pt idx="12">
                  <c:v>-1930296</c:v>
                </c:pt>
                <c:pt idx="13">
                  <c:v>-1907711</c:v>
                </c:pt>
                <c:pt idx="14">
                  <c:v>-2032269</c:v>
                </c:pt>
                <c:pt idx="15">
                  <c:v>-1931426</c:v>
                </c:pt>
                <c:pt idx="16">
                  <c:v>-1790126</c:v>
                </c:pt>
                <c:pt idx="17">
                  <c:v>-1977775</c:v>
                </c:pt>
                <c:pt idx="18">
                  <c:v>-2041178</c:v>
                </c:pt>
                <c:pt idx="19">
                  <c:v>-2000048</c:v>
                </c:pt>
                <c:pt idx="20">
                  <c:v>-1922582</c:v>
                </c:pt>
                <c:pt idx="21">
                  <c:v>-2017076</c:v>
                </c:pt>
                <c:pt idx="22">
                  <c:v>-2028940</c:v>
                </c:pt>
                <c:pt idx="23">
                  <c:v>-2099551</c:v>
                </c:pt>
                <c:pt idx="24">
                  <c:v>-2217353</c:v>
                </c:pt>
                <c:pt idx="25">
                  <c:v>-2256176</c:v>
                </c:pt>
                <c:pt idx="26">
                  <c:v>1268287</c:v>
                </c:pt>
                <c:pt idx="27">
                  <c:v>-2288086</c:v>
                </c:pt>
                <c:pt idx="28">
                  <c:v>-2285000</c:v>
                </c:pt>
                <c:pt idx="29">
                  <c:v>-2262737</c:v>
                </c:pt>
                <c:pt idx="30">
                  <c:v>-2035020</c:v>
                </c:pt>
                <c:pt idx="31">
                  <c:v>-2050900</c:v>
                </c:pt>
                <c:pt idx="32">
                  <c:v>-2010020</c:v>
                </c:pt>
                <c:pt idx="33">
                  <c:v>-2006181</c:v>
                </c:pt>
                <c:pt idx="34">
                  <c:v>-1838003</c:v>
                </c:pt>
                <c:pt idx="35">
                  <c:v>-1758189</c:v>
                </c:pt>
                <c:pt idx="36">
                  <c:v>-1787370</c:v>
                </c:pt>
                <c:pt idx="37">
                  <c:v>-1801830</c:v>
                </c:pt>
                <c:pt idx="38">
                  <c:v>-1951090</c:v>
                </c:pt>
                <c:pt idx="39">
                  <c:v>-1631829</c:v>
                </c:pt>
                <c:pt idx="40">
                  <c:v>-1758707</c:v>
                </c:pt>
                <c:pt idx="41">
                  <c:v>-4510473</c:v>
                </c:pt>
                <c:pt idx="42">
                  <c:v>-4659772</c:v>
                </c:pt>
                <c:pt idx="43">
                  <c:v>-4654947</c:v>
                </c:pt>
                <c:pt idx="44">
                  <c:v>-4140726</c:v>
                </c:pt>
                <c:pt idx="45">
                  <c:v>-4491153</c:v>
                </c:pt>
                <c:pt idx="46">
                  <c:v>-4843033</c:v>
                </c:pt>
                <c:pt idx="47">
                  <c:v>-4696328</c:v>
                </c:pt>
                <c:pt idx="48">
                  <c:v>-5069955</c:v>
                </c:pt>
                <c:pt idx="49">
                  <c:v>-4886962</c:v>
                </c:pt>
                <c:pt idx="50">
                  <c:v>-2091348</c:v>
                </c:pt>
                <c:pt idx="51">
                  <c:v>-2824079</c:v>
                </c:pt>
                <c:pt idx="52">
                  <c:v>-2908078</c:v>
                </c:pt>
                <c:pt idx="53">
                  <c:v>-2567146</c:v>
                </c:pt>
                <c:pt idx="54">
                  <c:v>-2288811</c:v>
                </c:pt>
                <c:pt idx="55">
                  <c:v>-1745879</c:v>
                </c:pt>
                <c:pt idx="56">
                  <c:v>-1622200</c:v>
                </c:pt>
                <c:pt idx="57">
                  <c:v>-1683082</c:v>
                </c:pt>
                <c:pt idx="58">
                  <c:v>-1925841</c:v>
                </c:pt>
                <c:pt idx="59">
                  <c:v>-788748</c:v>
                </c:pt>
                <c:pt idx="60">
                  <c:v>1431634</c:v>
                </c:pt>
                <c:pt idx="61">
                  <c:v>2195919</c:v>
                </c:pt>
                <c:pt idx="62">
                  <c:v>6827298</c:v>
                </c:pt>
                <c:pt idx="63">
                  <c:v>4008837</c:v>
                </c:pt>
                <c:pt idx="64">
                  <c:v>4354374</c:v>
                </c:pt>
                <c:pt idx="65">
                  <c:v>3874520</c:v>
                </c:pt>
                <c:pt idx="66">
                  <c:v>11136615</c:v>
                </c:pt>
                <c:pt idx="67">
                  <c:v>10927684</c:v>
                </c:pt>
                <c:pt idx="68">
                  <c:v>11896111</c:v>
                </c:pt>
                <c:pt idx="69">
                  <c:v>10908196</c:v>
                </c:pt>
                <c:pt idx="70">
                  <c:v>11684683</c:v>
                </c:pt>
                <c:pt idx="71">
                  <c:v>9231108</c:v>
                </c:pt>
                <c:pt idx="72">
                  <c:v>11112226</c:v>
                </c:pt>
                <c:pt idx="73">
                  <c:v>9376076</c:v>
                </c:pt>
                <c:pt idx="74">
                  <c:v>8182160</c:v>
                </c:pt>
                <c:pt idx="75">
                  <c:v>8113160</c:v>
                </c:pt>
                <c:pt idx="76">
                  <c:v>8297135</c:v>
                </c:pt>
                <c:pt idx="77">
                  <c:v>7892257</c:v>
                </c:pt>
                <c:pt idx="78">
                  <c:v>8957551</c:v>
                </c:pt>
                <c:pt idx="79">
                  <c:v>8421597</c:v>
                </c:pt>
                <c:pt idx="80">
                  <c:v>6434682</c:v>
                </c:pt>
                <c:pt idx="81">
                  <c:v>5943255</c:v>
                </c:pt>
                <c:pt idx="82">
                  <c:v>6407108</c:v>
                </c:pt>
                <c:pt idx="83">
                  <c:v>6178786</c:v>
                </c:pt>
                <c:pt idx="84">
                  <c:v>5087205</c:v>
                </c:pt>
                <c:pt idx="85">
                  <c:v>5245442</c:v>
                </c:pt>
                <c:pt idx="86">
                  <c:v>2297158</c:v>
                </c:pt>
                <c:pt idx="87">
                  <c:v>1008331</c:v>
                </c:pt>
                <c:pt idx="88">
                  <c:v>1621676</c:v>
                </c:pt>
                <c:pt idx="89">
                  <c:v>1594423</c:v>
                </c:pt>
                <c:pt idx="90">
                  <c:v>1319434</c:v>
                </c:pt>
                <c:pt idx="91">
                  <c:v>5845955</c:v>
                </c:pt>
                <c:pt idx="92">
                  <c:v>1103604</c:v>
                </c:pt>
                <c:pt idx="93">
                  <c:v>2368635</c:v>
                </c:pt>
                <c:pt idx="94">
                  <c:v>930323</c:v>
                </c:pt>
                <c:pt idx="95">
                  <c:v>1772130</c:v>
                </c:pt>
                <c:pt idx="96">
                  <c:v>1526112</c:v>
                </c:pt>
                <c:pt idx="97">
                  <c:v>-495634</c:v>
                </c:pt>
                <c:pt idx="98">
                  <c:v>-388548</c:v>
                </c:pt>
                <c:pt idx="99">
                  <c:v>-500947</c:v>
                </c:pt>
                <c:pt idx="100">
                  <c:v>-658208</c:v>
                </c:pt>
                <c:pt idx="101">
                  <c:v>-1427905</c:v>
                </c:pt>
                <c:pt idx="102">
                  <c:v>5004361</c:v>
                </c:pt>
                <c:pt idx="103">
                  <c:v>-1807193</c:v>
                </c:pt>
                <c:pt idx="104">
                  <c:v>-1743098</c:v>
                </c:pt>
                <c:pt idx="105">
                  <c:v>-2379976</c:v>
                </c:pt>
                <c:pt idx="106">
                  <c:v>-2766048</c:v>
                </c:pt>
                <c:pt idx="107">
                  <c:v>-3101507</c:v>
                </c:pt>
                <c:pt idx="108">
                  <c:v>-3338130</c:v>
                </c:pt>
                <c:pt idx="109">
                  <c:v>-3439474</c:v>
                </c:pt>
                <c:pt idx="110">
                  <c:v>-2210308</c:v>
                </c:pt>
                <c:pt idx="111">
                  <c:v>-3412177</c:v>
                </c:pt>
                <c:pt idx="112">
                  <c:v>-2175331</c:v>
                </c:pt>
                <c:pt idx="113">
                  <c:v>-2182431</c:v>
                </c:pt>
                <c:pt idx="114">
                  <c:v>-5546535</c:v>
                </c:pt>
                <c:pt idx="115">
                  <c:v>-5788748</c:v>
                </c:pt>
                <c:pt idx="116">
                  <c:v>-6452725</c:v>
                </c:pt>
                <c:pt idx="117">
                  <c:v>-8378861</c:v>
                </c:pt>
                <c:pt idx="118">
                  <c:v>-8076735</c:v>
                </c:pt>
                <c:pt idx="119">
                  <c:v>-8909266</c:v>
                </c:pt>
                <c:pt idx="120">
                  <c:v>-9126475</c:v>
                </c:pt>
                <c:pt idx="121">
                  <c:v>-10210822</c:v>
                </c:pt>
                <c:pt idx="122">
                  <c:v>-2006208</c:v>
                </c:pt>
                <c:pt idx="123">
                  <c:v>-10990978</c:v>
                </c:pt>
                <c:pt idx="124">
                  <c:v>-11757994</c:v>
                </c:pt>
                <c:pt idx="125">
                  <c:v>-11863931</c:v>
                </c:pt>
                <c:pt idx="126">
                  <c:v>-11120553</c:v>
                </c:pt>
                <c:pt idx="127">
                  <c:v>-10639003</c:v>
                </c:pt>
                <c:pt idx="128">
                  <c:v>-11463049</c:v>
                </c:pt>
                <c:pt idx="129">
                  <c:v>-11558572</c:v>
                </c:pt>
                <c:pt idx="130">
                  <c:v>-11117314</c:v>
                </c:pt>
                <c:pt idx="131">
                  <c:v>-10963520</c:v>
                </c:pt>
                <c:pt idx="132">
                  <c:v>-10243469</c:v>
                </c:pt>
                <c:pt idx="133">
                  <c:v>-10265003</c:v>
                </c:pt>
                <c:pt idx="134">
                  <c:v>-11004101</c:v>
                </c:pt>
                <c:pt idx="135">
                  <c:v>-11234861</c:v>
                </c:pt>
                <c:pt idx="136">
                  <c:v>-11664477</c:v>
                </c:pt>
                <c:pt idx="137">
                  <c:v>-11560537</c:v>
                </c:pt>
                <c:pt idx="138">
                  <c:v>-12299436</c:v>
                </c:pt>
                <c:pt idx="139">
                  <c:v>-12275030</c:v>
                </c:pt>
                <c:pt idx="140">
                  <c:v>-12332203</c:v>
                </c:pt>
                <c:pt idx="141">
                  <c:v>-12133930</c:v>
                </c:pt>
                <c:pt idx="142">
                  <c:v>-11496655</c:v>
                </c:pt>
                <c:pt idx="143">
                  <c:v>-11145133</c:v>
                </c:pt>
                <c:pt idx="144">
                  <c:v>-11008166</c:v>
                </c:pt>
                <c:pt idx="145">
                  <c:v>-10054109</c:v>
                </c:pt>
                <c:pt idx="146">
                  <c:v>-1049966</c:v>
                </c:pt>
                <c:pt idx="147">
                  <c:v>-11621870</c:v>
                </c:pt>
                <c:pt idx="148">
                  <c:v>-11870516</c:v>
                </c:pt>
                <c:pt idx="149">
                  <c:v>-11938405</c:v>
                </c:pt>
                <c:pt idx="150">
                  <c:v>-12782137</c:v>
                </c:pt>
                <c:pt idx="151">
                  <c:v>-12556055</c:v>
                </c:pt>
                <c:pt idx="152">
                  <c:v>-13646597</c:v>
                </c:pt>
                <c:pt idx="153">
                  <c:v>-14378286</c:v>
                </c:pt>
                <c:pt idx="154">
                  <c:v>-13943104</c:v>
                </c:pt>
                <c:pt idx="155">
                  <c:v>-14134794</c:v>
                </c:pt>
                <c:pt idx="156">
                  <c:v>-14149651</c:v>
                </c:pt>
                <c:pt idx="157">
                  <c:v>-13819947</c:v>
                </c:pt>
                <c:pt idx="158">
                  <c:v>-13536882</c:v>
                </c:pt>
                <c:pt idx="159">
                  <c:v>-13048530</c:v>
                </c:pt>
                <c:pt idx="160">
                  <c:v>-15237971</c:v>
                </c:pt>
                <c:pt idx="161">
                  <c:v>-15068831</c:v>
                </c:pt>
                <c:pt idx="162">
                  <c:v>-15121985</c:v>
                </c:pt>
                <c:pt idx="163">
                  <c:v>-14612036</c:v>
                </c:pt>
                <c:pt idx="164">
                  <c:v>-14956761</c:v>
                </c:pt>
                <c:pt idx="165">
                  <c:v>-14598393</c:v>
                </c:pt>
                <c:pt idx="166">
                  <c:v>3785961</c:v>
                </c:pt>
                <c:pt idx="167">
                  <c:v>-7934432</c:v>
                </c:pt>
                <c:pt idx="168">
                  <c:v>-8152635</c:v>
                </c:pt>
                <c:pt idx="169">
                  <c:v>-9387263</c:v>
                </c:pt>
                <c:pt idx="170">
                  <c:v>-9391625</c:v>
                </c:pt>
                <c:pt idx="171">
                  <c:v>-9518096</c:v>
                </c:pt>
                <c:pt idx="172">
                  <c:v>-9480782</c:v>
                </c:pt>
                <c:pt idx="173">
                  <c:v>-10213191</c:v>
                </c:pt>
                <c:pt idx="174">
                  <c:v>-11592762</c:v>
                </c:pt>
                <c:pt idx="175">
                  <c:v>-11509747</c:v>
                </c:pt>
                <c:pt idx="176">
                  <c:v>-12666200</c:v>
                </c:pt>
                <c:pt idx="177">
                  <c:v>-12932236</c:v>
                </c:pt>
                <c:pt idx="178">
                  <c:v>-12470365</c:v>
                </c:pt>
                <c:pt idx="179">
                  <c:v>-13363555</c:v>
                </c:pt>
                <c:pt idx="180">
                  <c:v>-13140744</c:v>
                </c:pt>
                <c:pt idx="181">
                  <c:v>-13480400</c:v>
                </c:pt>
                <c:pt idx="182">
                  <c:v>-13358930</c:v>
                </c:pt>
                <c:pt idx="183">
                  <c:v>-12962895</c:v>
                </c:pt>
                <c:pt idx="184">
                  <c:v>-15881738</c:v>
                </c:pt>
                <c:pt idx="185">
                  <c:v>-16813314</c:v>
                </c:pt>
                <c:pt idx="186">
                  <c:v>-18086953</c:v>
                </c:pt>
                <c:pt idx="187">
                  <c:v>-4727531</c:v>
                </c:pt>
                <c:pt idx="188">
                  <c:v>-18339990</c:v>
                </c:pt>
                <c:pt idx="189">
                  <c:v>-18335868</c:v>
                </c:pt>
                <c:pt idx="190">
                  <c:v>-18521493</c:v>
                </c:pt>
                <c:pt idx="191">
                  <c:v>-19381365</c:v>
                </c:pt>
                <c:pt idx="192">
                  <c:v>-18861643</c:v>
                </c:pt>
                <c:pt idx="193">
                  <c:v>-18427176</c:v>
                </c:pt>
                <c:pt idx="194">
                  <c:v>-17996838</c:v>
                </c:pt>
                <c:pt idx="195">
                  <c:v>-9828132</c:v>
                </c:pt>
                <c:pt idx="196">
                  <c:v>-3061043</c:v>
                </c:pt>
                <c:pt idx="197">
                  <c:v>-3139497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DE-4E96-B4E8-BA217DB3B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9648384"/>
        <c:axId val="419648864"/>
      </c:lineChart>
      <c:catAx>
        <c:axId val="68199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000544"/>
        <c:crosses val="autoZero"/>
        <c:auto val="1"/>
        <c:lblAlgn val="ctr"/>
        <c:lblOffset val="100"/>
        <c:noMultiLvlLbl val="0"/>
      </c:catAx>
      <c:valAx>
        <c:axId val="68200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999104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Millions (PnL)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419648864"/>
        <c:scaling>
          <c:orientation val="minMax"/>
          <c:max val="900000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648384"/>
        <c:crosses val="max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Millions (cash usage,</a:t>
                  </a:r>
                  <a:r>
                    <a:rPr lang="en-GB" baseline="0"/>
                    <a:t> net upfront)</a:t>
                  </a:r>
                  <a:endParaRPr lang="en-GB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B"/>
              </a:p>
            </c:txPr>
          </c:dispUnitsLbl>
        </c:dispUnits>
      </c:valAx>
      <c:catAx>
        <c:axId val="4196483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196488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PnL Return</a:t>
            </a:r>
            <a:r>
              <a:rPr lang="en-GB" b="1" baseline="0"/>
              <a:t> - Target Closing</a:t>
            </a:r>
            <a:endParaRPr lang="en-GB" b="1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daily_pnl_close_pairs!$B$1</c:f>
              <c:strCache>
                <c:ptCount val="1"/>
                <c:pt idx="0">
                  <c:v>rolling_pnl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daily_pnl_close_pairs!$A$2:$A$199</c:f>
              <c:strCache>
                <c:ptCount val="198"/>
                <c:pt idx="0">
                  <c:v>2025-01-10</c:v>
                </c:pt>
                <c:pt idx="1">
                  <c:v>2025-01-13</c:v>
                </c:pt>
                <c:pt idx="2">
                  <c:v>2025-01-14</c:v>
                </c:pt>
                <c:pt idx="3">
                  <c:v>2025-01-15</c:v>
                </c:pt>
                <c:pt idx="4">
                  <c:v>2025-01-16</c:v>
                </c:pt>
                <c:pt idx="5">
                  <c:v>2025-01-17</c:v>
                </c:pt>
                <c:pt idx="6">
                  <c:v>2025-01-20</c:v>
                </c:pt>
                <c:pt idx="7">
                  <c:v>2025-01-21</c:v>
                </c:pt>
                <c:pt idx="8">
                  <c:v>2025-01-22</c:v>
                </c:pt>
                <c:pt idx="9">
                  <c:v>2025-01-23</c:v>
                </c:pt>
                <c:pt idx="10">
                  <c:v>2025-01-24</c:v>
                </c:pt>
                <c:pt idx="11">
                  <c:v>2025-01-27</c:v>
                </c:pt>
                <c:pt idx="12">
                  <c:v>2025-01-28</c:v>
                </c:pt>
                <c:pt idx="13">
                  <c:v>2025-01-29</c:v>
                </c:pt>
                <c:pt idx="14">
                  <c:v>2025-01-30</c:v>
                </c:pt>
                <c:pt idx="15">
                  <c:v>2025-01-31</c:v>
                </c:pt>
                <c:pt idx="16">
                  <c:v>2025-02-03</c:v>
                </c:pt>
                <c:pt idx="17">
                  <c:v>2025-02-04</c:v>
                </c:pt>
                <c:pt idx="18">
                  <c:v>2025-02-05</c:v>
                </c:pt>
                <c:pt idx="19">
                  <c:v>2025-02-06</c:v>
                </c:pt>
                <c:pt idx="20">
                  <c:v>2025-02-07</c:v>
                </c:pt>
                <c:pt idx="21">
                  <c:v>2025-02-10</c:v>
                </c:pt>
                <c:pt idx="22">
                  <c:v>2025-02-11</c:v>
                </c:pt>
                <c:pt idx="23">
                  <c:v>2025-02-12</c:v>
                </c:pt>
                <c:pt idx="24">
                  <c:v>2025-02-13</c:v>
                </c:pt>
                <c:pt idx="25">
                  <c:v>2025-02-14</c:v>
                </c:pt>
                <c:pt idx="26">
                  <c:v>2025-02-17</c:v>
                </c:pt>
                <c:pt idx="27">
                  <c:v>2025-02-18</c:v>
                </c:pt>
                <c:pt idx="28">
                  <c:v>2025-02-19</c:v>
                </c:pt>
                <c:pt idx="29">
                  <c:v>2025-02-20</c:v>
                </c:pt>
                <c:pt idx="30">
                  <c:v>2025-02-21</c:v>
                </c:pt>
                <c:pt idx="31">
                  <c:v>2025-02-24</c:v>
                </c:pt>
                <c:pt idx="32">
                  <c:v>2025-02-25</c:v>
                </c:pt>
                <c:pt idx="33">
                  <c:v>2025-02-26</c:v>
                </c:pt>
                <c:pt idx="34">
                  <c:v>2025-02-27</c:v>
                </c:pt>
                <c:pt idx="35">
                  <c:v>2025-02-28</c:v>
                </c:pt>
                <c:pt idx="36">
                  <c:v>2025-03-03</c:v>
                </c:pt>
                <c:pt idx="37">
                  <c:v>2025-03-04</c:v>
                </c:pt>
                <c:pt idx="38">
                  <c:v>2025-03-05</c:v>
                </c:pt>
                <c:pt idx="39">
                  <c:v>2025-03-06</c:v>
                </c:pt>
                <c:pt idx="40">
                  <c:v>2025-03-07</c:v>
                </c:pt>
                <c:pt idx="41">
                  <c:v>2025-03-10</c:v>
                </c:pt>
                <c:pt idx="42">
                  <c:v>2025-03-11</c:v>
                </c:pt>
                <c:pt idx="43">
                  <c:v>2025-03-12</c:v>
                </c:pt>
                <c:pt idx="44">
                  <c:v>2025-03-13</c:v>
                </c:pt>
                <c:pt idx="45">
                  <c:v>2025-03-14</c:v>
                </c:pt>
                <c:pt idx="46">
                  <c:v>2025-03-17</c:v>
                </c:pt>
                <c:pt idx="47">
                  <c:v>2025-03-18</c:v>
                </c:pt>
                <c:pt idx="48">
                  <c:v>2025-03-19</c:v>
                </c:pt>
                <c:pt idx="49">
                  <c:v>2025-03-20</c:v>
                </c:pt>
                <c:pt idx="50">
                  <c:v>2025-03-21</c:v>
                </c:pt>
                <c:pt idx="51">
                  <c:v>2025-03-24</c:v>
                </c:pt>
                <c:pt idx="52">
                  <c:v>2025-03-25</c:v>
                </c:pt>
                <c:pt idx="53">
                  <c:v>2025-03-26</c:v>
                </c:pt>
                <c:pt idx="54">
                  <c:v>2025-03-27</c:v>
                </c:pt>
                <c:pt idx="55">
                  <c:v>2025-03-28</c:v>
                </c:pt>
                <c:pt idx="56">
                  <c:v>2025-03-31</c:v>
                </c:pt>
                <c:pt idx="57">
                  <c:v>2025-04-01</c:v>
                </c:pt>
                <c:pt idx="58">
                  <c:v>2025-04-02</c:v>
                </c:pt>
                <c:pt idx="59">
                  <c:v>2025-04-03</c:v>
                </c:pt>
                <c:pt idx="60">
                  <c:v>2025-04-04</c:v>
                </c:pt>
                <c:pt idx="61">
                  <c:v>2025-04-07</c:v>
                </c:pt>
                <c:pt idx="62">
                  <c:v>2025-04-08</c:v>
                </c:pt>
                <c:pt idx="63">
                  <c:v>2025-04-09</c:v>
                </c:pt>
                <c:pt idx="64">
                  <c:v>2025-04-10</c:v>
                </c:pt>
                <c:pt idx="65">
                  <c:v>2025-04-11</c:v>
                </c:pt>
                <c:pt idx="66">
                  <c:v>2025-04-14</c:v>
                </c:pt>
                <c:pt idx="67">
                  <c:v>2025-04-15</c:v>
                </c:pt>
                <c:pt idx="68">
                  <c:v>2025-04-16</c:v>
                </c:pt>
                <c:pt idx="69">
                  <c:v>2025-04-17</c:v>
                </c:pt>
                <c:pt idx="70">
                  <c:v>2025-04-18</c:v>
                </c:pt>
                <c:pt idx="71">
                  <c:v>2025-04-21</c:v>
                </c:pt>
                <c:pt idx="72">
                  <c:v>2025-04-22</c:v>
                </c:pt>
                <c:pt idx="73">
                  <c:v>2025-04-23</c:v>
                </c:pt>
                <c:pt idx="74">
                  <c:v>2025-04-24</c:v>
                </c:pt>
                <c:pt idx="75">
                  <c:v>2025-04-25</c:v>
                </c:pt>
                <c:pt idx="76">
                  <c:v>2025-04-28</c:v>
                </c:pt>
                <c:pt idx="77">
                  <c:v>2025-04-29</c:v>
                </c:pt>
                <c:pt idx="78">
                  <c:v>2025-04-30</c:v>
                </c:pt>
                <c:pt idx="79">
                  <c:v>2025-05-01</c:v>
                </c:pt>
                <c:pt idx="80">
                  <c:v>2025-05-02</c:v>
                </c:pt>
                <c:pt idx="81">
                  <c:v>2025-05-05</c:v>
                </c:pt>
                <c:pt idx="82">
                  <c:v>2025-05-06</c:v>
                </c:pt>
                <c:pt idx="83">
                  <c:v>2025-05-07</c:v>
                </c:pt>
                <c:pt idx="84">
                  <c:v>2025-05-08</c:v>
                </c:pt>
                <c:pt idx="85">
                  <c:v>2025-05-09</c:v>
                </c:pt>
                <c:pt idx="86">
                  <c:v>2025-05-12</c:v>
                </c:pt>
                <c:pt idx="87">
                  <c:v>2025-05-13</c:v>
                </c:pt>
                <c:pt idx="88">
                  <c:v>2025-05-14</c:v>
                </c:pt>
                <c:pt idx="89">
                  <c:v>2025-05-15</c:v>
                </c:pt>
                <c:pt idx="90">
                  <c:v>2025-05-16</c:v>
                </c:pt>
                <c:pt idx="91">
                  <c:v>2025-05-19</c:v>
                </c:pt>
                <c:pt idx="92">
                  <c:v>2025-05-20</c:v>
                </c:pt>
                <c:pt idx="93">
                  <c:v>2025-05-21</c:v>
                </c:pt>
                <c:pt idx="94">
                  <c:v>2025-05-22</c:v>
                </c:pt>
                <c:pt idx="95">
                  <c:v>2025-05-23</c:v>
                </c:pt>
                <c:pt idx="96">
                  <c:v>2025-05-26</c:v>
                </c:pt>
                <c:pt idx="97">
                  <c:v>2025-05-27</c:v>
                </c:pt>
                <c:pt idx="98">
                  <c:v>2025-05-28</c:v>
                </c:pt>
                <c:pt idx="99">
                  <c:v>2025-05-29</c:v>
                </c:pt>
                <c:pt idx="100">
                  <c:v>2025-05-30</c:v>
                </c:pt>
                <c:pt idx="101">
                  <c:v>2025-06-02</c:v>
                </c:pt>
                <c:pt idx="102">
                  <c:v>2025-06-03</c:v>
                </c:pt>
                <c:pt idx="103">
                  <c:v>2025-06-04</c:v>
                </c:pt>
                <c:pt idx="104">
                  <c:v>2025-06-05</c:v>
                </c:pt>
                <c:pt idx="105">
                  <c:v>2025-06-06</c:v>
                </c:pt>
                <c:pt idx="106">
                  <c:v>2025-06-09</c:v>
                </c:pt>
                <c:pt idx="107">
                  <c:v>2025-06-10</c:v>
                </c:pt>
                <c:pt idx="108">
                  <c:v>2025-06-11</c:v>
                </c:pt>
                <c:pt idx="109">
                  <c:v>2025-06-12</c:v>
                </c:pt>
                <c:pt idx="110">
                  <c:v>2025-06-13</c:v>
                </c:pt>
                <c:pt idx="111">
                  <c:v>2025-06-16</c:v>
                </c:pt>
                <c:pt idx="112">
                  <c:v>2025-06-17</c:v>
                </c:pt>
                <c:pt idx="113">
                  <c:v>2025-06-18</c:v>
                </c:pt>
                <c:pt idx="114">
                  <c:v>2025-06-19</c:v>
                </c:pt>
                <c:pt idx="115">
                  <c:v>2025-06-20</c:v>
                </c:pt>
                <c:pt idx="116">
                  <c:v>2025-06-23</c:v>
                </c:pt>
                <c:pt idx="117">
                  <c:v>2025-06-24</c:v>
                </c:pt>
                <c:pt idx="118">
                  <c:v>2025-06-25</c:v>
                </c:pt>
                <c:pt idx="119">
                  <c:v>2025-06-26</c:v>
                </c:pt>
                <c:pt idx="120">
                  <c:v>2025-06-27</c:v>
                </c:pt>
                <c:pt idx="121">
                  <c:v>2025-06-30</c:v>
                </c:pt>
                <c:pt idx="122">
                  <c:v>2025-07-01</c:v>
                </c:pt>
                <c:pt idx="123">
                  <c:v>2025-07-02</c:v>
                </c:pt>
                <c:pt idx="124">
                  <c:v>2025-07-03</c:v>
                </c:pt>
                <c:pt idx="125">
                  <c:v>2025-07-04</c:v>
                </c:pt>
                <c:pt idx="126">
                  <c:v>2025-07-07</c:v>
                </c:pt>
                <c:pt idx="127">
                  <c:v>2025-07-08</c:v>
                </c:pt>
                <c:pt idx="128">
                  <c:v>2025-07-09</c:v>
                </c:pt>
                <c:pt idx="129">
                  <c:v>2025-07-10</c:v>
                </c:pt>
                <c:pt idx="130">
                  <c:v>2025-07-11</c:v>
                </c:pt>
                <c:pt idx="131">
                  <c:v>2025-07-14</c:v>
                </c:pt>
                <c:pt idx="132">
                  <c:v>2025-07-15</c:v>
                </c:pt>
                <c:pt idx="133">
                  <c:v>2025-07-16</c:v>
                </c:pt>
                <c:pt idx="134">
                  <c:v>2025-07-17</c:v>
                </c:pt>
                <c:pt idx="135">
                  <c:v>2025-07-18</c:v>
                </c:pt>
                <c:pt idx="136">
                  <c:v>2025-07-21</c:v>
                </c:pt>
                <c:pt idx="137">
                  <c:v>2025-07-22</c:v>
                </c:pt>
                <c:pt idx="138">
                  <c:v>2025-07-23</c:v>
                </c:pt>
                <c:pt idx="139">
                  <c:v>2025-07-24</c:v>
                </c:pt>
                <c:pt idx="140">
                  <c:v>2025-07-25</c:v>
                </c:pt>
                <c:pt idx="141">
                  <c:v>2025-07-28</c:v>
                </c:pt>
                <c:pt idx="142">
                  <c:v>2025-07-29</c:v>
                </c:pt>
                <c:pt idx="143">
                  <c:v>2025-07-30</c:v>
                </c:pt>
                <c:pt idx="144">
                  <c:v>2025-07-31</c:v>
                </c:pt>
                <c:pt idx="145">
                  <c:v>2025-08-01</c:v>
                </c:pt>
                <c:pt idx="146">
                  <c:v>2025-08-04</c:v>
                </c:pt>
                <c:pt idx="147">
                  <c:v>2025-08-05</c:v>
                </c:pt>
                <c:pt idx="148">
                  <c:v>2025-08-06</c:v>
                </c:pt>
                <c:pt idx="149">
                  <c:v>2025-08-07</c:v>
                </c:pt>
                <c:pt idx="150">
                  <c:v>2025-08-08</c:v>
                </c:pt>
                <c:pt idx="151">
                  <c:v>2025-08-11</c:v>
                </c:pt>
                <c:pt idx="152">
                  <c:v>2025-08-12</c:v>
                </c:pt>
                <c:pt idx="153">
                  <c:v>2025-08-13</c:v>
                </c:pt>
                <c:pt idx="154">
                  <c:v>2025-08-14</c:v>
                </c:pt>
                <c:pt idx="155">
                  <c:v>2025-08-15</c:v>
                </c:pt>
                <c:pt idx="156">
                  <c:v>2025-08-18</c:v>
                </c:pt>
                <c:pt idx="157">
                  <c:v>2025-08-19</c:v>
                </c:pt>
                <c:pt idx="158">
                  <c:v>2025-08-20</c:v>
                </c:pt>
                <c:pt idx="159">
                  <c:v>2025-08-21</c:v>
                </c:pt>
                <c:pt idx="160">
                  <c:v>2025-08-22</c:v>
                </c:pt>
                <c:pt idx="161">
                  <c:v>2025-08-25</c:v>
                </c:pt>
                <c:pt idx="162">
                  <c:v>2025-08-26</c:v>
                </c:pt>
                <c:pt idx="163">
                  <c:v>2025-08-27</c:v>
                </c:pt>
                <c:pt idx="164">
                  <c:v>2025-08-28</c:v>
                </c:pt>
                <c:pt idx="165">
                  <c:v>2025-08-29</c:v>
                </c:pt>
                <c:pt idx="166">
                  <c:v>2025-09-01</c:v>
                </c:pt>
                <c:pt idx="167">
                  <c:v>2025-09-02</c:v>
                </c:pt>
                <c:pt idx="168">
                  <c:v>2025-09-03</c:v>
                </c:pt>
                <c:pt idx="169">
                  <c:v>2025-09-04</c:v>
                </c:pt>
                <c:pt idx="170">
                  <c:v>2025-09-05</c:v>
                </c:pt>
                <c:pt idx="171">
                  <c:v>2025-09-08</c:v>
                </c:pt>
                <c:pt idx="172">
                  <c:v>2025-09-09</c:v>
                </c:pt>
                <c:pt idx="173">
                  <c:v>2025-09-10</c:v>
                </c:pt>
                <c:pt idx="174">
                  <c:v>2025-09-11</c:v>
                </c:pt>
                <c:pt idx="175">
                  <c:v>2025-09-12</c:v>
                </c:pt>
                <c:pt idx="176">
                  <c:v>2025-09-15</c:v>
                </c:pt>
                <c:pt idx="177">
                  <c:v>2025-09-16</c:v>
                </c:pt>
                <c:pt idx="178">
                  <c:v>2025-09-17</c:v>
                </c:pt>
                <c:pt idx="179">
                  <c:v>2025-09-18</c:v>
                </c:pt>
                <c:pt idx="180">
                  <c:v>2025-09-19</c:v>
                </c:pt>
                <c:pt idx="181">
                  <c:v>2025-09-22</c:v>
                </c:pt>
                <c:pt idx="182">
                  <c:v>2025-09-23</c:v>
                </c:pt>
                <c:pt idx="183">
                  <c:v>2025-09-24</c:v>
                </c:pt>
                <c:pt idx="184">
                  <c:v>2025-09-25</c:v>
                </c:pt>
                <c:pt idx="185">
                  <c:v>2025-09-26</c:v>
                </c:pt>
                <c:pt idx="186">
                  <c:v>2025-09-29</c:v>
                </c:pt>
                <c:pt idx="187">
                  <c:v>2025-09-30</c:v>
                </c:pt>
                <c:pt idx="188">
                  <c:v>2025-10-01</c:v>
                </c:pt>
                <c:pt idx="189">
                  <c:v>2025-10-02</c:v>
                </c:pt>
                <c:pt idx="190">
                  <c:v>2025-10-03</c:v>
                </c:pt>
                <c:pt idx="191">
                  <c:v>2025-10-06</c:v>
                </c:pt>
                <c:pt idx="192">
                  <c:v>2025-10-07</c:v>
                </c:pt>
                <c:pt idx="193">
                  <c:v>2025-10-08</c:v>
                </c:pt>
                <c:pt idx="194">
                  <c:v>2025-10-09</c:v>
                </c:pt>
                <c:pt idx="195">
                  <c:v>2025-10-10</c:v>
                </c:pt>
                <c:pt idx="196">
                  <c:v>2025-10-13</c:v>
                </c:pt>
                <c:pt idx="197">
                  <c:v>2025-10-14</c:v>
                </c:pt>
              </c:strCache>
            </c:strRef>
          </c:cat>
          <c:val>
            <c:numRef>
              <c:f>daily_pnl_close_pairs!$B$2:$B$199</c:f>
              <c:numCache>
                <c:formatCode>General</c:formatCode>
                <c:ptCount val="198"/>
                <c:pt idx="0">
                  <c:v>7007</c:v>
                </c:pt>
                <c:pt idx="1">
                  <c:v>-18433</c:v>
                </c:pt>
                <c:pt idx="2">
                  <c:v>73519</c:v>
                </c:pt>
                <c:pt idx="3">
                  <c:v>420686</c:v>
                </c:pt>
                <c:pt idx="4">
                  <c:v>430706</c:v>
                </c:pt>
                <c:pt idx="5">
                  <c:v>432448</c:v>
                </c:pt>
                <c:pt idx="6">
                  <c:v>428930</c:v>
                </c:pt>
                <c:pt idx="7">
                  <c:v>427582</c:v>
                </c:pt>
                <c:pt idx="8">
                  <c:v>434384</c:v>
                </c:pt>
                <c:pt idx="9">
                  <c:v>430903</c:v>
                </c:pt>
                <c:pt idx="10">
                  <c:v>435480</c:v>
                </c:pt>
                <c:pt idx="11">
                  <c:v>438673</c:v>
                </c:pt>
                <c:pt idx="12">
                  <c:v>440218</c:v>
                </c:pt>
                <c:pt idx="13">
                  <c:v>444208</c:v>
                </c:pt>
                <c:pt idx="14">
                  <c:v>444208</c:v>
                </c:pt>
                <c:pt idx="15">
                  <c:v>444208</c:v>
                </c:pt>
                <c:pt idx="16">
                  <c:v>444208</c:v>
                </c:pt>
                <c:pt idx="17">
                  <c:v>444208</c:v>
                </c:pt>
                <c:pt idx="18">
                  <c:v>444208</c:v>
                </c:pt>
                <c:pt idx="19">
                  <c:v>444208</c:v>
                </c:pt>
                <c:pt idx="20">
                  <c:v>444208</c:v>
                </c:pt>
                <c:pt idx="21">
                  <c:v>444208</c:v>
                </c:pt>
                <c:pt idx="22">
                  <c:v>444208</c:v>
                </c:pt>
                <c:pt idx="23">
                  <c:v>444208</c:v>
                </c:pt>
                <c:pt idx="24">
                  <c:v>444208</c:v>
                </c:pt>
                <c:pt idx="25">
                  <c:v>444208</c:v>
                </c:pt>
                <c:pt idx="26">
                  <c:v>444208</c:v>
                </c:pt>
                <c:pt idx="27">
                  <c:v>444208</c:v>
                </c:pt>
                <c:pt idx="28">
                  <c:v>444208</c:v>
                </c:pt>
                <c:pt idx="29">
                  <c:v>444208</c:v>
                </c:pt>
                <c:pt idx="30">
                  <c:v>444208</c:v>
                </c:pt>
                <c:pt idx="31">
                  <c:v>444208</c:v>
                </c:pt>
                <c:pt idx="32">
                  <c:v>444208</c:v>
                </c:pt>
                <c:pt idx="33">
                  <c:v>444208</c:v>
                </c:pt>
                <c:pt idx="34">
                  <c:v>444208</c:v>
                </c:pt>
                <c:pt idx="35">
                  <c:v>444208</c:v>
                </c:pt>
                <c:pt idx="36">
                  <c:v>444208</c:v>
                </c:pt>
                <c:pt idx="37">
                  <c:v>444208</c:v>
                </c:pt>
                <c:pt idx="38">
                  <c:v>444208</c:v>
                </c:pt>
                <c:pt idx="39">
                  <c:v>444208</c:v>
                </c:pt>
                <c:pt idx="40">
                  <c:v>444208</c:v>
                </c:pt>
                <c:pt idx="41">
                  <c:v>338211</c:v>
                </c:pt>
                <c:pt idx="42">
                  <c:v>307383</c:v>
                </c:pt>
                <c:pt idx="43">
                  <c:v>269976</c:v>
                </c:pt>
                <c:pt idx="44">
                  <c:v>390904</c:v>
                </c:pt>
                <c:pt idx="45">
                  <c:v>466582</c:v>
                </c:pt>
                <c:pt idx="46">
                  <c:v>497260</c:v>
                </c:pt>
                <c:pt idx="47">
                  <c:v>529765</c:v>
                </c:pt>
                <c:pt idx="48">
                  <c:v>609364</c:v>
                </c:pt>
                <c:pt idx="49">
                  <c:v>553060</c:v>
                </c:pt>
                <c:pt idx="50">
                  <c:v>457604</c:v>
                </c:pt>
                <c:pt idx="51">
                  <c:v>596381</c:v>
                </c:pt>
                <c:pt idx="52">
                  <c:v>592039</c:v>
                </c:pt>
                <c:pt idx="53">
                  <c:v>547438</c:v>
                </c:pt>
                <c:pt idx="54">
                  <c:v>540207</c:v>
                </c:pt>
                <c:pt idx="55">
                  <c:v>427040</c:v>
                </c:pt>
                <c:pt idx="56">
                  <c:v>431614</c:v>
                </c:pt>
                <c:pt idx="57">
                  <c:v>464383</c:v>
                </c:pt>
                <c:pt idx="58">
                  <c:v>468045</c:v>
                </c:pt>
                <c:pt idx="59">
                  <c:v>148002</c:v>
                </c:pt>
                <c:pt idx="60">
                  <c:v>323470</c:v>
                </c:pt>
                <c:pt idx="61">
                  <c:v>74858</c:v>
                </c:pt>
                <c:pt idx="62">
                  <c:v>-295845</c:v>
                </c:pt>
                <c:pt idx="63">
                  <c:v>516667</c:v>
                </c:pt>
                <c:pt idx="64">
                  <c:v>351819</c:v>
                </c:pt>
                <c:pt idx="65">
                  <c:v>421714</c:v>
                </c:pt>
                <c:pt idx="66">
                  <c:v>431203</c:v>
                </c:pt>
                <c:pt idx="67">
                  <c:v>402902</c:v>
                </c:pt>
                <c:pt idx="68">
                  <c:v>-284342</c:v>
                </c:pt>
                <c:pt idx="69">
                  <c:v>348000</c:v>
                </c:pt>
                <c:pt idx="70">
                  <c:v>364078</c:v>
                </c:pt>
                <c:pt idx="71">
                  <c:v>-826118</c:v>
                </c:pt>
                <c:pt idx="72">
                  <c:v>407457</c:v>
                </c:pt>
                <c:pt idx="73">
                  <c:v>1260599</c:v>
                </c:pt>
                <c:pt idx="74">
                  <c:v>1762859</c:v>
                </c:pt>
                <c:pt idx="75">
                  <c:v>1764740</c:v>
                </c:pt>
                <c:pt idx="76">
                  <c:v>1730069</c:v>
                </c:pt>
                <c:pt idx="77">
                  <c:v>1737175</c:v>
                </c:pt>
                <c:pt idx="78">
                  <c:v>1703461</c:v>
                </c:pt>
                <c:pt idx="79">
                  <c:v>1721442</c:v>
                </c:pt>
                <c:pt idx="80">
                  <c:v>1900002</c:v>
                </c:pt>
                <c:pt idx="81">
                  <c:v>1950624</c:v>
                </c:pt>
                <c:pt idx="82">
                  <c:v>1909277</c:v>
                </c:pt>
                <c:pt idx="83">
                  <c:v>1940400</c:v>
                </c:pt>
                <c:pt idx="84">
                  <c:v>2019068</c:v>
                </c:pt>
                <c:pt idx="85">
                  <c:v>1998289</c:v>
                </c:pt>
                <c:pt idx="86">
                  <c:v>2302067</c:v>
                </c:pt>
                <c:pt idx="87">
                  <c:v>2345032</c:v>
                </c:pt>
                <c:pt idx="88">
                  <c:v>2345032</c:v>
                </c:pt>
                <c:pt idx="89">
                  <c:v>2345032</c:v>
                </c:pt>
                <c:pt idx="90">
                  <c:v>2345032</c:v>
                </c:pt>
                <c:pt idx="91">
                  <c:v>2345032</c:v>
                </c:pt>
                <c:pt idx="92">
                  <c:v>2345032</c:v>
                </c:pt>
                <c:pt idx="93">
                  <c:v>2345032</c:v>
                </c:pt>
                <c:pt idx="94">
                  <c:v>2217270</c:v>
                </c:pt>
                <c:pt idx="95">
                  <c:v>2263892</c:v>
                </c:pt>
                <c:pt idx="96">
                  <c:v>2257081</c:v>
                </c:pt>
                <c:pt idx="97">
                  <c:v>2348084</c:v>
                </c:pt>
                <c:pt idx="98">
                  <c:v>2299580</c:v>
                </c:pt>
                <c:pt idx="99">
                  <c:v>2286756</c:v>
                </c:pt>
                <c:pt idx="100">
                  <c:v>2322441</c:v>
                </c:pt>
                <c:pt idx="101">
                  <c:v>2380884</c:v>
                </c:pt>
                <c:pt idx="102">
                  <c:v>2380884</c:v>
                </c:pt>
                <c:pt idx="103">
                  <c:v>2312434</c:v>
                </c:pt>
                <c:pt idx="104">
                  <c:v>2265896</c:v>
                </c:pt>
                <c:pt idx="105">
                  <c:v>2323180</c:v>
                </c:pt>
                <c:pt idx="106">
                  <c:v>2326684</c:v>
                </c:pt>
                <c:pt idx="107">
                  <c:v>2368898</c:v>
                </c:pt>
                <c:pt idx="108">
                  <c:v>2329608</c:v>
                </c:pt>
                <c:pt idx="109">
                  <c:v>2373010</c:v>
                </c:pt>
                <c:pt idx="110">
                  <c:v>2329568</c:v>
                </c:pt>
                <c:pt idx="111">
                  <c:v>2339711</c:v>
                </c:pt>
                <c:pt idx="112">
                  <c:v>2264999</c:v>
                </c:pt>
                <c:pt idx="113">
                  <c:v>2345675</c:v>
                </c:pt>
                <c:pt idx="114">
                  <c:v>2410041</c:v>
                </c:pt>
                <c:pt idx="115">
                  <c:v>2237769</c:v>
                </c:pt>
                <c:pt idx="116">
                  <c:v>2371192</c:v>
                </c:pt>
                <c:pt idx="117">
                  <c:v>2406942</c:v>
                </c:pt>
                <c:pt idx="118">
                  <c:v>2354640</c:v>
                </c:pt>
                <c:pt idx="119">
                  <c:v>2439853</c:v>
                </c:pt>
                <c:pt idx="120">
                  <c:v>2339045</c:v>
                </c:pt>
                <c:pt idx="121">
                  <c:v>2495271</c:v>
                </c:pt>
                <c:pt idx="122">
                  <c:v>2561477</c:v>
                </c:pt>
                <c:pt idx="123">
                  <c:v>2613754</c:v>
                </c:pt>
                <c:pt idx="124">
                  <c:v>2686142</c:v>
                </c:pt>
                <c:pt idx="125">
                  <c:v>2758948</c:v>
                </c:pt>
                <c:pt idx="126">
                  <c:v>2679630</c:v>
                </c:pt>
                <c:pt idx="127">
                  <c:v>2657355</c:v>
                </c:pt>
                <c:pt idx="128">
                  <c:v>2696133</c:v>
                </c:pt>
                <c:pt idx="129">
                  <c:v>2700382</c:v>
                </c:pt>
                <c:pt idx="130">
                  <c:v>2682972</c:v>
                </c:pt>
                <c:pt idx="131">
                  <c:v>2682010</c:v>
                </c:pt>
                <c:pt idx="132">
                  <c:v>2620770</c:v>
                </c:pt>
                <c:pt idx="133">
                  <c:v>2641348</c:v>
                </c:pt>
                <c:pt idx="134">
                  <c:v>2645885</c:v>
                </c:pt>
                <c:pt idx="135">
                  <c:v>2630897</c:v>
                </c:pt>
                <c:pt idx="136">
                  <c:v>2652254</c:v>
                </c:pt>
                <c:pt idx="137">
                  <c:v>2657630</c:v>
                </c:pt>
                <c:pt idx="138">
                  <c:v>2678534</c:v>
                </c:pt>
                <c:pt idx="139">
                  <c:v>2629818</c:v>
                </c:pt>
                <c:pt idx="140">
                  <c:v>2632444</c:v>
                </c:pt>
                <c:pt idx="141">
                  <c:v>2632398</c:v>
                </c:pt>
                <c:pt idx="142">
                  <c:v>2595177</c:v>
                </c:pt>
                <c:pt idx="143">
                  <c:v>2596109</c:v>
                </c:pt>
                <c:pt idx="144">
                  <c:v>2605147</c:v>
                </c:pt>
                <c:pt idx="145">
                  <c:v>2602764</c:v>
                </c:pt>
                <c:pt idx="146">
                  <c:v>2737860</c:v>
                </c:pt>
                <c:pt idx="147">
                  <c:v>2761211</c:v>
                </c:pt>
                <c:pt idx="148">
                  <c:v>2701400</c:v>
                </c:pt>
                <c:pt idx="149">
                  <c:v>2584275</c:v>
                </c:pt>
                <c:pt idx="150">
                  <c:v>2605193</c:v>
                </c:pt>
                <c:pt idx="151">
                  <c:v>2571627</c:v>
                </c:pt>
                <c:pt idx="152">
                  <c:v>2630142</c:v>
                </c:pt>
                <c:pt idx="153">
                  <c:v>2636878</c:v>
                </c:pt>
                <c:pt idx="154">
                  <c:v>2567556</c:v>
                </c:pt>
                <c:pt idx="155">
                  <c:v>2523320</c:v>
                </c:pt>
                <c:pt idx="156">
                  <c:v>2519875</c:v>
                </c:pt>
                <c:pt idx="157">
                  <c:v>2436819</c:v>
                </c:pt>
                <c:pt idx="158">
                  <c:v>2496119</c:v>
                </c:pt>
                <c:pt idx="159">
                  <c:v>2509549</c:v>
                </c:pt>
                <c:pt idx="160">
                  <c:v>2637481</c:v>
                </c:pt>
                <c:pt idx="161">
                  <c:v>2600242</c:v>
                </c:pt>
                <c:pt idx="162">
                  <c:v>2807808</c:v>
                </c:pt>
                <c:pt idx="163">
                  <c:v>2956719</c:v>
                </c:pt>
                <c:pt idx="164">
                  <c:v>2857008</c:v>
                </c:pt>
                <c:pt idx="165">
                  <c:v>2911928</c:v>
                </c:pt>
                <c:pt idx="166">
                  <c:v>2660865</c:v>
                </c:pt>
                <c:pt idx="167">
                  <c:v>3321890</c:v>
                </c:pt>
                <c:pt idx="168">
                  <c:v>2886211</c:v>
                </c:pt>
                <c:pt idx="169">
                  <c:v>2989329</c:v>
                </c:pt>
                <c:pt idx="170">
                  <c:v>2847970</c:v>
                </c:pt>
                <c:pt idx="171">
                  <c:v>2645877</c:v>
                </c:pt>
                <c:pt idx="172">
                  <c:v>2585955</c:v>
                </c:pt>
                <c:pt idx="173">
                  <c:v>2697149</c:v>
                </c:pt>
                <c:pt idx="174">
                  <c:v>2688968</c:v>
                </c:pt>
                <c:pt idx="175">
                  <c:v>2619196</c:v>
                </c:pt>
                <c:pt idx="176">
                  <c:v>2660706</c:v>
                </c:pt>
                <c:pt idx="177">
                  <c:v>2868059</c:v>
                </c:pt>
                <c:pt idx="178">
                  <c:v>2623291</c:v>
                </c:pt>
                <c:pt idx="179">
                  <c:v>2784021</c:v>
                </c:pt>
                <c:pt idx="180">
                  <c:v>2775053</c:v>
                </c:pt>
                <c:pt idx="181">
                  <c:v>2782855</c:v>
                </c:pt>
                <c:pt idx="182">
                  <c:v>2465027</c:v>
                </c:pt>
                <c:pt idx="183">
                  <c:v>2462871</c:v>
                </c:pt>
                <c:pt idx="184">
                  <c:v>2462477</c:v>
                </c:pt>
                <c:pt idx="185">
                  <c:v>2577593</c:v>
                </c:pt>
                <c:pt idx="186">
                  <c:v>2673272</c:v>
                </c:pt>
                <c:pt idx="187">
                  <c:v>2504847</c:v>
                </c:pt>
                <c:pt idx="188">
                  <c:v>2496931</c:v>
                </c:pt>
                <c:pt idx="189">
                  <c:v>2331668</c:v>
                </c:pt>
                <c:pt idx="190">
                  <c:v>2372827</c:v>
                </c:pt>
                <c:pt idx="191">
                  <c:v>2803258</c:v>
                </c:pt>
                <c:pt idx="192">
                  <c:v>2932757</c:v>
                </c:pt>
                <c:pt idx="193">
                  <c:v>2824671</c:v>
                </c:pt>
                <c:pt idx="194">
                  <c:v>3155423</c:v>
                </c:pt>
                <c:pt idx="195">
                  <c:v>3018329</c:v>
                </c:pt>
                <c:pt idx="196">
                  <c:v>2812614</c:v>
                </c:pt>
                <c:pt idx="197">
                  <c:v>3109588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BB-4269-9287-23A2FA1A4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1999104"/>
        <c:axId val="682000544"/>
      </c:lineChart>
      <c:lineChart>
        <c:grouping val="standard"/>
        <c:varyColors val="0"/>
        <c:ser>
          <c:idx val="1"/>
          <c:order val="1"/>
          <c:tx>
            <c:strRef>
              <c:f>daily_pnl_close_pairs!$C$1</c:f>
              <c:strCache>
                <c:ptCount val="1"/>
                <c:pt idx="0">
                  <c:v>net upfront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daily_pnl_close_pairs!$A$2:$A$199</c:f>
              <c:strCache>
                <c:ptCount val="198"/>
                <c:pt idx="0">
                  <c:v>2025-01-10</c:v>
                </c:pt>
                <c:pt idx="1">
                  <c:v>2025-01-13</c:v>
                </c:pt>
                <c:pt idx="2">
                  <c:v>2025-01-14</c:v>
                </c:pt>
                <c:pt idx="3">
                  <c:v>2025-01-15</c:v>
                </c:pt>
                <c:pt idx="4">
                  <c:v>2025-01-16</c:v>
                </c:pt>
                <c:pt idx="5">
                  <c:v>2025-01-17</c:v>
                </c:pt>
                <c:pt idx="6">
                  <c:v>2025-01-20</c:v>
                </c:pt>
                <c:pt idx="7">
                  <c:v>2025-01-21</c:v>
                </c:pt>
                <c:pt idx="8">
                  <c:v>2025-01-22</c:v>
                </c:pt>
                <c:pt idx="9">
                  <c:v>2025-01-23</c:v>
                </c:pt>
                <c:pt idx="10">
                  <c:v>2025-01-24</c:v>
                </c:pt>
                <c:pt idx="11">
                  <c:v>2025-01-27</c:v>
                </c:pt>
                <c:pt idx="12">
                  <c:v>2025-01-28</c:v>
                </c:pt>
                <c:pt idx="13">
                  <c:v>2025-01-29</c:v>
                </c:pt>
                <c:pt idx="14">
                  <c:v>2025-01-30</c:v>
                </c:pt>
                <c:pt idx="15">
                  <c:v>2025-01-31</c:v>
                </c:pt>
                <c:pt idx="16">
                  <c:v>2025-02-03</c:v>
                </c:pt>
                <c:pt idx="17">
                  <c:v>2025-02-04</c:v>
                </c:pt>
                <c:pt idx="18">
                  <c:v>2025-02-05</c:v>
                </c:pt>
                <c:pt idx="19">
                  <c:v>2025-02-06</c:v>
                </c:pt>
                <c:pt idx="20">
                  <c:v>2025-02-07</c:v>
                </c:pt>
                <c:pt idx="21">
                  <c:v>2025-02-10</c:v>
                </c:pt>
                <c:pt idx="22">
                  <c:v>2025-02-11</c:v>
                </c:pt>
                <c:pt idx="23">
                  <c:v>2025-02-12</c:v>
                </c:pt>
                <c:pt idx="24">
                  <c:v>2025-02-13</c:v>
                </c:pt>
                <c:pt idx="25">
                  <c:v>2025-02-14</c:v>
                </c:pt>
                <c:pt idx="26">
                  <c:v>2025-02-17</c:v>
                </c:pt>
                <c:pt idx="27">
                  <c:v>2025-02-18</c:v>
                </c:pt>
                <c:pt idx="28">
                  <c:v>2025-02-19</c:v>
                </c:pt>
                <c:pt idx="29">
                  <c:v>2025-02-20</c:v>
                </c:pt>
                <c:pt idx="30">
                  <c:v>2025-02-21</c:v>
                </c:pt>
                <c:pt idx="31">
                  <c:v>2025-02-24</c:v>
                </c:pt>
                <c:pt idx="32">
                  <c:v>2025-02-25</c:v>
                </c:pt>
                <c:pt idx="33">
                  <c:v>2025-02-26</c:v>
                </c:pt>
                <c:pt idx="34">
                  <c:v>2025-02-27</c:v>
                </c:pt>
                <c:pt idx="35">
                  <c:v>2025-02-28</c:v>
                </c:pt>
                <c:pt idx="36">
                  <c:v>2025-03-03</c:v>
                </c:pt>
                <c:pt idx="37">
                  <c:v>2025-03-04</c:v>
                </c:pt>
                <c:pt idx="38">
                  <c:v>2025-03-05</c:v>
                </c:pt>
                <c:pt idx="39">
                  <c:v>2025-03-06</c:v>
                </c:pt>
                <c:pt idx="40">
                  <c:v>2025-03-07</c:v>
                </c:pt>
                <c:pt idx="41">
                  <c:v>2025-03-10</c:v>
                </c:pt>
                <c:pt idx="42">
                  <c:v>2025-03-11</c:v>
                </c:pt>
                <c:pt idx="43">
                  <c:v>2025-03-12</c:v>
                </c:pt>
                <c:pt idx="44">
                  <c:v>2025-03-13</c:v>
                </c:pt>
                <c:pt idx="45">
                  <c:v>2025-03-14</c:v>
                </c:pt>
                <c:pt idx="46">
                  <c:v>2025-03-17</c:v>
                </c:pt>
                <c:pt idx="47">
                  <c:v>2025-03-18</c:v>
                </c:pt>
                <c:pt idx="48">
                  <c:v>2025-03-19</c:v>
                </c:pt>
                <c:pt idx="49">
                  <c:v>2025-03-20</c:v>
                </c:pt>
                <c:pt idx="50">
                  <c:v>2025-03-21</c:v>
                </c:pt>
                <c:pt idx="51">
                  <c:v>2025-03-24</c:v>
                </c:pt>
                <c:pt idx="52">
                  <c:v>2025-03-25</c:v>
                </c:pt>
                <c:pt idx="53">
                  <c:v>2025-03-26</c:v>
                </c:pt>
                <c:pt idx="54">
                  <c:v>2025-03-27</c:v>
                </c:pt>
                <c:pt idx="55">
                  <c:v>2025-03-28</c:v>
                </c:pt>
                <c:pt idx="56">
                  <c:v>2025-03-31</c:v>
                </c:pt>
                <c:pt idx="57">
                  <c:v>2025-04-01</c:v>
                </c:pt>
                <c:pt idx="58">
                  <c:v>2025-04-02</c:v>
                </c:pt>
                <c:pt idx="59">
                  <c:v>2025-04-03</c:v>
                </c:pt>
                <c:pt idx="60">
                  <c:v>2025-04-04</c:v>
                </c:pt>
                <c:pt idx="61">
                  <c:v>2025-04-07</c:v>
                </c:pt>
                <c:pt idx="62">
                  <c:v>2025-04-08</c:v>
                </c:pt>
                <c:pt idx="63">
                  <c:v>2025-04-09</c:v>
                </c:pt>
                <c:pt idx="64">
                  <c:v>2025-04-10</c:v>
                </c:pt>
                <c:pt idx="65">
                  <c:v>2025-04-11</c:v>
                </c:pt>
                <c:pt idx="66">
                  <c:v>2025-04-14</c:v>
                </c:pt>
                <c:pt idx="67">
                  <c:v>2025-04-15</c:v>
                </c:pt>
                <c:pt idx="68">
                  <c:v>2025-04-16</c:v>
                </c:pt>
                <c:pt idx="69">
                  <c:v>2025-04-17</c:v>
                </c:pt>
                <c:pt idx="70">
                  <c:v>2025-04-18</c:v>
                </c:pt>
                <c:pt idx="71">
                  <c:v>2025-04-21</c:v>
                </c:pt>
                <c:pt idx="72">
                  <c:v>2025-04-22</c:v>
                </c:pt>
                <c:pt idx="73">
                  <c:v>2025-04-23</c:v>
                </c:pt>
                <c:pt idx="74">
                  <c:v>2025-04-24</c:v>
                </c:pt>
                <c:pt idx="75">
                  <c:v>2025-04-25</c:v>
                </c:pt>
                <c:pt idx="76">
                  <c:v>2025-04-28</c:v>
                </c:pt>
                <c:pt idx="77">
                  <c:v>2025-04-29</c:v>
                </c:pt>
                <c:pt idx="78">
                  <c:v>2025-04-30</c:v>
                </c:pt>
                <c:pt idx="79">
                  <c:v>2025-05-01</c:v>
                </c:pt>
                <c:pt idx="80">
                  <c:v>2025-05-02</c:v>
                </c:pt>
                <c:pt idx="81">
                  <c:v>2025-05-05</c:v>
                </c:pt>
                <c:pt idx="82">
                  <c:v>2025-05-06</c:v>
                </c:pt>
                <c:pt idx="83">
                  <c:v>2025-05-07</c:v>
                </c:pt>
                <c:pt idx="84">
                  <c:v>2025-05-08</c:v>
                </c:pt>
                <c:pt idx="85">
                  <c:v>2025-05-09</c:v>
                </c:pt>
                <c:pt idx="86">
                  <c:v>2025-05-12</c:v>
                </c:pt>
                <c:pt idx="87">
                  <c:v>2025-05-13</c:v>
                </c:pt>
                <c:pt idx="88">
                  <c:v>2025-05-14</c:v>
                </c:pt>
                <c:pt idx="89">
                  <c:v>2025-05-15</c:v>
                </c:pt>
                <c:pt idx="90">
                  <c:v>2025-05-16</c:v>
                </c:pt>
                <c:pt idx="91">
                  <c:v>2025-05-19</c:v>
                </c:pt>
                <c:pt idx="92">
                  <c:v>2025-05-20</c:v>
                </c:pt>
                <c:pt idx="93">
                  <c:v>2025-05-21</c:v>
                </c:pt>
                <c:pt idx="94">
                  <c:v>2025-05-22</c:v>
                </c:pt>
                <c:pt idx="95">
                  <c:v>2025-05-23</c:v>
                </c:pt>
                <c:pt idx="96">
                  <c:v>2025-05-26</c:v>
                </c:pt>
                <c:pt idx="97">
                  <c:v>2025-05-27</c:v>
                </c:pt>
                <c:pt idx="98">
                  <c:v>2025-05-28</c:v>
                </c:pt>
                <c:pt idx="99">
                  <c:v>2025-05-29</c:v>
                </c:pt>
                <c:pt idx="100">
                  <c:v>2025-05-30</c:v>
                </c:pt>
                <c:pt idx="101">
                  <c:v>2025-06-02</c:v>
                </c:pt>
                <c:pt idx="102">
                  <c:v>2025-06-03</c:v>
                </c:pt>
                <c:pt idx="103">
                  <c:v>2025-06-04</c:v>
                </c:pt>
                <c:pt idx="104">
                  <c:v>2025-06-05</c:v>
                </c:pt>
                <c:pt idx="105">
                  <c:v>2025-06-06</c:v>
                </c:pt>
                <c:pt idx="106">
                  <c:v>2025-06-09</c:v>
                </c:pt>
                <c:pt idx="107">
                  <c:v>2025-06-10</c:v>
                </c:pt>
                <c:pt idx="108">
                  <c:v>2025-06-11</c:v>
                </c:pt>
                <c:pt idx="109">
                  <c:v>2025-06-12</c:v>
                </c:pt>
                <c:pt idx="110">
                  <c:v>2025-06-13</c:v>
                </c:pt>
                <c:pt idx="111">
                  <c:v>2025-06-16</c:v>
                </c:pt>
                <c:pt idx="112">
                  <c:v>2025-06-17</c:v>
                </c:pt>
                <c:pt idx="113">
                  <c:v>2025-06-18</c:v>
                </c:pt>
                <c:pt idx="114">
                  <c:v>2025-06-19</c:v>
                </c:pt>
                <c:pt idx="115">
                  <c:v>2025-06-20</c:v>
                </c:pt>
                <c:pt idx="116">
                  <c:v>2025-06-23</c:v>
                </c:pt>
                <c:pt idx="117">
                  <c:v>2025-06-24</c:v>
                </c:pt>
                <c:pt idx="118">
                  <c:v>2025-06-25</c:v>
                </c:pt>
                <c:pt idx="119">
                  <c:v>2025-06-26</c:v>
                </c:pt>
                <c:pt idx="120">
                  <c:v>2025-06-27</c:v>
                </c:pt>
                <c:pt idx="121">
                  <c:v>2025-06-30</c:v>
                </c:pt>
                <c:pt idx="122">
                  <c:v>2025-07-01</c:v>
                </c:pt>
                <c:pt idx="123">
                  <c:v>2025-07-02</c:v>
                </c:pt>
                <c:pt idx="124">
                  <c:v>2025-07-03</c:v>
                </c:pt>
                <c:pt idx="125">
                  <c:v>2025-07-04</c:v>
                </c:pt>
                <c:pt idx="126">
                  <c:v>2025-07-07</c:v>
                </c:pt>
                <c:pt idx="127">
                  <c:v>2025-07-08</c:v>
                </c:pt>
                <c:pt idx="128">
                  <c:v>2025-07-09</c:v>
                </c:pt>
                <c:pt idx="129">
                  <c:v>2025-07-10</c:v>
                </c:pt>
                <c:pt idx="130">
                  <c:v>2025-07-11</c:v>
                </c:pt>
                <c:pt idx="131">
                  <c:v>2025-07-14</c:v>
                </c:pt>
                <c:pt idx="132">
                  <c:v>2025-07-15</c:v>
                </c:pt>
                <c:pt idx="133">
                  <c:v>2025-07-16</c:v>
                </c:pt>
                <c:pt idx="134">
                  <c:v>2025-07-17</c:v>
                </c:pt>
                <c:pt idx="135">
                  <c:v>2025-07-18</c:v>
                </c:pt>
                <c:pt idx="136">
                  <c:v>2025-07-21</c:v>
                </c:pt>
                <c:pt idx="137">
                  <c:v>2025-07-22</c:v>
                </c:pt>
                <c:pt idx="138">
                  <c:v>2025-07-23</c:v>
                </c:pt>
                <c:pt idx="139">
                  <c:v>2025-07-24</c:v>
                </c:pt>
                <c:pt idx="140">
                  <c:v>2025-07-25</c:v>
                </c:pt>
                <c:pt idx="141">
                  <c:v>2025-07-28</c:v>
                </c:pt>
                <c:pt idx="142">
                  <c:v>2025-07-29</c:v>
                </c:pt>
                <c:pt idx="143">
                  <c:v>2025-07-30</c:v>
                </c:pt>
                <c:pt idx="144">
                  <c:v>2025-07-31</c:v>
                </c:pt>
                <c:pt idx="145">
                  <c:v>2025-08-01</c:v>
                </c:pt>
                <c:pt idx="146">
                  <c:v>2025-08-04</c:v>
                </c:pt>
                <c:pt idx="147">
                  <c:v>2025-08-05</c:v>
                </c:pt>
                <c:pt idx="148">
                  <c:v>2025-08-06</c:v>
                </c:pt>
                <c:pt idx="149">
                  <c:v>2025-08-07</c:v>
                </c:pt>
                <c:pt idx="150">
                  <c:v>2025-08-08</c:v>
                </c:pt>
                <c:pt idx="151">
                  <c:v>2025-08-11</c:v>
                </c:pt>
                <c:pt idx="152">
                  <c:v>2025-08-12</c:v>
                </c:pt>
                <c:pt idx="153">
                  <c:v>2025-08-13</c:v>
                </c:pt>
                <c:pt idx="154">
                  <c:v>2025-08-14</c:v>
                </c:pt>
                <c:pt idx="155">
                  <c:v>2025-08-15</c:v>
                </c:pt>
                <c:pt idx="156">
                  <c:v>2025-08-18</c:v>
                </c:pt>
                <c:pt idx="157">
                  <c:v>2025-08-19</c:v>
                </c:pt>
                <c:pt idx="158">
                  <c:v>2025-08-20</c:v>
                </c:pt>
                <c:pt idx="159">
                  <c:v>2025-08-21</c:v>
                </c:pt>
                <c:pt idx="160">
                  <c:v>2025-08-22</c:v>
                </c:pt>
                <c:pt idx="161">
                  <c:v>2025-08-25</c:v>
                </c:pt>
                <c:pt idx="162">
                  <c:v>2025-08-26</c:v>
                </c:pt>
                <c:pt idx="163">
                  <c:v>2025-08-27</c:v>
                </c:pt>
                <c:pt idx="164">
                  <c:v>2025-08-28</c:v>
                </c:pt>
                <c:pt idx="165">
                  <c:v>2025-08-29</c:v>
                </c:pt>
                <c:pt idx="166">
                  <c:v>2025-09-01</c:v>
                </c:pt>
                <c:pt idx="167">
                  <c:v>2025-09-02</c:v>
                </c:pt>
                <c:pt idx="168">
                  <c:v>2025-09-03</c:v>
                </c:pt>
                <c:pt idx="169">
                  <c:v>2025-09-04</c:v>
                </c:pt>
                <c:pt idx="170">
                  <c:v>2025-09-05</c:v>
                </c:pt>
                <c:pt idx="171">
                  <c:v>2025-09-08</c:v>
                </c:pt>
                <c:pt idx="172">
                  <c:v>2025-09-09</c:v>
                </c:pt>
                <c:pt idx="173">
                  <c:v>2025-09-10</c:v>
                </c:pt>
                <c:pt idx="174">
                  <c:v>2025-09-11</c:v>
                </c:pt>
                <c:pt idx="175">
                  <c:v>2025-09-12</c:v>
                </c:pt>
                <c:pt idx="176">
                  <c:v>2025-09-15</c:v>
                </c:pt>
                <c:pt idx="177">
                  <c:v>2025-09-16</c:v>
                </c:pt>
                <c:pt idx="178">
                  <c:v>2025-09-17</c:v>
                </c:pt>
                <c:pt idx="179">
                  <c:v>2025-09-18</c:v>
                </c:pt>
                <c:pt idx="180">
                  <c:v>2025-09-19</c:v>
                </c:pt>
                <c:pt idx="181">
                  <c:v>2025-09-22</c:v>
                </c:pt>
                <c:pt idx="182">
                  <c:v>2025-09-23</c:v>
                </c:pt>
                <c:pt idx="183">
                  <c:v>2025-09-24</c:v>
                </c:pt>
                <c:pt idx="184">
                  <c:v>2025-09-25</c:v>
                </c:pt>
                <c:pt idx="185">
                  <c:v>2025-09-26</c:v>
                </c:pt>
                <c:pt idx="186">
                  <c:v>2025-09-29</c:v>
                </c:pt>
                <c:pt idx="187">
                  <c:v>2025-09-30</c:v>
                </c:pt>
                <c:pt idx="188">
                  <c:v>2025-10-01</c:v>
                </c:pt>
                <c:pt idx="189">
                  <c:v>2025-10-02</c:v>
                </c:pt>
                <c:pt idx="190">
                  <c:v>2025-10-03</c:v>
                </c:pt>
                <c:pt idx="191">
                  <c:v>2025-10-06</c:v>
                </c:pt>
                <c:pt idx="192">
                  <c:v>2025-10-07</c:v>
                </c:pt>
                <c:pt idx="193">
                  <c:v>2025-10-08</c:v>
                </c:pt>
                <c:pt idx="194">
                  <c:v>2025-10-09</c:v>
                </c:pt>
                <c:pt idx="195">
                  <c:v>2025-10-10</c:v>
                </c:pt>
                <c:pt idx="196">
                  <c:v>2025-10-13</c:v>
                </c:pt>
                <c:pt idx="197">
                  <c:v>2025-10-14</c:v>
                </c:pt>
              </c:strCache>
            </c:strRef>
          </c:cat>
          <c:val>
            <c:numRef>
              <c:f>daily_pnl_close_pairs!$C$2:$C$199</c:f>
              <c:numCache>
                <c:formatCode>General</c:formatCode>
                <c:ptCount val="198"/>
                <c:pt idx="0">
                  <c:v>-7616587</c:v>
                </c:pt>
                <c:pt idx="1">
                  <c:v>-7616587</c:v>
                </c:pt>
                <c:pt idx="2">
                  <c:v>-7616587</c:v>
                </c:pt>
                <c:pt idx="3">
                  <c:v>-7616587</c:v>
                </c:pt>
                <c:pt idx="4">
                  <c:v>-2382429</c:v>
                </c:pt>
                <c:pt idx="5">
                  <c:v>-2382429</c:v>
                </c:pt>
                <c:pt idx="6">
                  <c:v>-2382429</c:v>
                </c:pt>
                <c:pt idx="7">
                  <c:v>-2382429</c:v>
                </c:pt>
                <c:pt idx="8">
                  <c:v>-2382429</c:v>
                </c:pt>
                <c:pt idx="9">
                  <c:v>-2382429</c:v>
                </c:pt>
                <c:pt idx="10">
                  <c:v>-2382429</c:v>
                </c:pt>
                <c:pt idx="11">
                  <c:v>-2382429</c:v>
                </c:pt>
                <c:pt idx="12">
                  <c:v>-2382429</c:v>
                </c:pt>
                <c:pt idx="13">
                  <c:v>-2382429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-9818049</c:v>
                </c:pt>
                <c:pt idx="42">
                  <c:v>-9818049</c:v>
                </c:pt>
                <c:pt idx="43">
                  <c:v>-9818049</c:v>
                </c:pt>
                <c:pt idx="44">
                  <c:v>-9818049</c:v>
                </c:pt>
                <c:pt idx="45">
                  <c:v>-7542052</c:v>
                </c:pt>
                <c:pt idx="46">
                  <c:v>-7542052</c:v>
                </c:pt>
                <c:pt idx="47">
                  <c:v>-7542052</c:v>
                </c:pt>
                <c:pt idx="48">
                  <c:v>-7542052</c:v>
                </c:pt>
                <c:pt idx="49">
                  <c:v>-7542052</c:v>
                </c:pt>
                <c:pt idx="50">
                  <c:v>-9188524</c:v>
                </c:pt>
                <c:pt idx="51">
                  <c:v>-9188524</c:v>
                </c:pt>
                <c:pt idx="52">
                  <c:v>-9188524</c:v>
                </c:pt>
                <c:pt idx="53">
                  <c:v>-9188524</c:v>
                </c:pt>
                <c:pt idx="54">
                  <c:v>-9188524</c:v>
                </c:pt>
                <c:pt idx="55">
                  <c:v>-9188524</c:v>
                </c:pt>
                <c:pt idx="56">
                  <c:v>-9188524</c:v>
                </c:pt>
                <c:pt idx="57">
                  <c:v>-9188524</c:v>
                </c:pt>
                <c:pt idx="58">
                  <c:v>-9188524</c:v>
                </c:pt>
                <c:pt idx="59">
                  <c:v>-9188524</c:v>
                </c:pt>
                <c:pt idx="60">
                  <c:v>-9188524</c:v>
                </c:pt>
                <c:pt idx="61">
                  <c:v>-2079938</c:v>
                </c:pt>
                <c:pt idx="62">
                  <c:v>-4956128</c:v>
                </c:pt>
                <c:pt idx="63">
                  <c:v>-4956128</c:v>
                </c:pt>
                <c:pt idx="64">
                  <c:v>-4331411</c:v>
                </c:pt>
                <c:pt idx="65">
                  <c:v>-4331411</c:v>
                </c:pt>
                <c:pt idx="66">
                  <c:v>-12980833</c:v>
                </c:pt>
                <c:pt idx="67">
                  <c:v>-12980833</c:v>
                </c:pt>
                <c:pt idx="68">
                  <c:v>-12980833</c:v>
                </c:pt>
                <c:pt idx="69">
                  <c:v>-12980833</c:v>
                </c:pt>
                <c:pt idx="70">
                  <c:v>-12980833</c:v>
                </c:pt>
                <c:pt idx="71">
                  <c:v>-12547367</c:v>
                </c:pt>
                <c:pt idx="72">
                  <c:v>-12547367</c:v>
                </c:pt>
                <c:pt idx="73">
                  <c:v>-12547367</c:v>
                </c:pt>
                <c:pt idx="74">
                  <c:v>-12547367</c:v>
                </c:pt>
                <c:pt idx="75">
                  <c:v>-6349895</c:v>
                </c:pt>
                <c:pt idx="76">
                  <c:v>-6349895</c:v>
                </c:pt>
                <c:pt idx="77">
                  <c:v>-6349895</c:v>
                </c:pt>
                <c:pt idx="78">
                  <c:v>-6349895</c:v>
                </c:pt>
                <c:pt idx="79">
                  <c:v>-6349895</c:v>
                </c:pt>
                <c:pt idx="80">
                  <c:v>-6349895</c:v>
                </c:pt>
                <c:pt idx="81">
                  <c:v>-4259659</c:v>
                </c:pt>
                <c:pt idx="82">
                  <c:v>-4259659</c:v>
                </c:pt>
                <c:pt idx="83">
                  <c:v>-3473705</c:v>
                </c:pt>
                <c:pt idx="84">
                  <c:v>-3473705</c:v>
                </c:pt>
                <c:pt idx="85">
                  <c:v>-3473705</c:v>
                </c:pt>
                <c:pt idx="86">
                  <c:v>-3473705</c:v>
                </c:pt>
                <c:pt idx="87">
                  <c:v>-1021755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-5475337</c:v>
                </c:pt>
                <c:pt idx="95">
                  <c:v>-5475337</c:v>
                </c:pt>
                <c:pt idx="96">
                  <c:v>-5475337</c:v>
                </c:pt>
                <c:pt idx="97">
                  <c:v>-5475337</c:v>
                </c:pt>
                <c:pt idx="98">
                  <c:v>-5475337</c:v>
                </c:pt>
                <c:pt idx="99">
                  <c:v>-5475337</c:v>
                </c:pt>
                <c:pt idx="100">
                  <c:v>-5475337</c:v>
                </c:pt>
                <c:pt idx="101">
                  <c:v>-5475337</c:v>
                </c:pt>
                <c:pt idx="102">
                  <c:v>-5475337</c:v>
                </c:pt>
                <c:pt idx="103">
                  <c:v>-5475337</c:v>
                </c:pt>
                <c:pt idx="104">
                  <c:v>-5475337</c:v>
                </c:pt>
                <c:pt idx="105">
                  <c:v>-5475337</c:v>
                </c:pt>
                <c:pt idx="106">
                  <c:v>-5475337</c:v>
                </c:pt>
                <c:pt idx="107">
                  <c:v>-5475337</c:v>
                </c:pt>
                <c:pt idx="108">
                  <c:v>-5475337</c:v>
                </c:pt>
                <c:pt idx="109">
                  <c:v>-5475337</c:v>
                </c:pt>
                <c:pt idx="110">
                  <c:v>-5475337</c:v>
                </c:pt>
                <c:pt idx="111">
                  <c:v>-5475337</c:v>
                </c:pt>
                <c:pt idx="112">
                  <c:v>-5475337</c:v>
                </c:pt>
                <c:pt idx="113">
                  <c:v>-5475337</c:v>
                </c:pt>
                <c:pt idx="114">
                  <c:v>-12549813</c:v>
                </c:pt>
                <c:pt idx="115">
                  <c:v>-12549813</c:v>
                </c:pt>
                <c:pt idx="116">
                  <c:v>-12549813</c:v>
                </c:pt>
                <c:pt idx="117">
                  <c:v>-12549813</c:v>
                </c:pt>
                <c:pt idx="118">
                  <c:v>-12549813</c:v>
                </c:pt>
                <c:pt idx="119">
                  <c:v>-12549813</c:v>
                </c:pt>
                <c:pt idx="120">
                  <c:v>-12549813</c:v>
                </c:pt>
                <c:pt idx="121">
                  <c:v>-12549813</c:v>
                </c:pt>
                <c:pt idx="122">
                  <c:v>-10911112</c:v>
                </c:pt>
                <c:pt idx="123">
                  <c:v>-10911112</c:v>
                </c:pt>
                <c:pt idx="124">
                  <c:v>-8312397</c:v>
                </c:pt>
                <c:pt idx="125">
                  <c:v>-8312397</c:v>
                </c:pt>
                <c:pt idx="126">
                  <c:v>-3180736</c:v>
                </c:pt>
                <c:pt idx="127">
                  <c:v>-3180736</c:v>
                </c:pt>
                <c:pt idx="128">
                  <c:v>-3180736</c:v>
                </c:pt>
                <c:pt idx="129">
                  <c:v>-3180736</c:v>
                </c:pt>
                <c:pt idx="130">
                  <c:v>-3180736</c:v>
                </c:pt>
                <c:pt idx="131">
                  <c:v>-3180736</c:v>
                </c:pt>
                <c:pt idx="132">
                  <c:v>-3180736</c:v>
                </c:pt>
                <c:pt idx="133">
                  <c:v>-3180736</c:v>
                </c:pt>
                <c:pt idx="134">
                  <c:v>-3180736</c:v>
                </c:pt>
                <c:pt idx="135">
                  <c:v>-3180736</c:v>
                </c:pt>
                <c:pt idx="136">
                  <c:v>-3180736</c:v>
                </c:pt>
                <c:pt idx="137">
                  <c:v>-3180736</c:v>
                </c:pt>
                <c:pt idx="138">
                  <c:v>-3180736</c:v>
                </c:pt>
                <c:pt idx="139">
                  <c:v>-3180736</c:v>
                </c:pt>
                <c:pt idx="140">
                  <c:v>-3180736</c:v>
                </c:pt>
                <c:pt idx="141">
                  <c:v>-3180736</c:v>
                </c:pt>
                <c:pt idx="142">
                  <c:v>-3180736</c:v>
                </c:pt>
                <c:pt idx="143">
                  <c:v>-3180736</c:v>
                </c:pt>
                <c:pt idx="144">
                  <c:v>-3180736</c:v>
                </c:pt>
                <c:pt idx="145">
                  <c:v>-8089467</c:v>
                </c:pt>
                <c:pt idx="146">
                  <c:v>-8089467</c:v>
                </c:pt>
                <c:pt idx="147">
                  <c:v>-8089467</c:v>
                </c:pt>
                <c:pt idx="148">
                  <c:v>-6477452</c:v>
                </c:pt>
                <c:pt idx="149">
                  <c:v>-6477452</c:v>
                </c:pt>
                <c:pt idx="150">
                  <c:v>-6477452</c:v>
                </c:pt>
                <c:pt idx="151">
                  <c:v>-6477452</c:v>
                </c:pt>
                <c:pt idx="152">
                  <c:v>-6477452</c:v>
                </c:pt>
                <c:pt idx="153">
                  <c:v>-6477452</c:v>
                </c:pt>
                <c:pt idx="154">
                  <c:v>-4967234</c:v>
                </c:pt>
                <c:pt idx="155">
                  <c:v>-4967234</c:v>
                </c:pt>
                <c:pt idx="156">
                  <c:v>-4967234</c:v>
                </c:pt>
                <c:pt idx="157">
                  <c:v>-4967234</c:v>
                </c:pt>
                <c:pt idx="158">
                  <c:v>-4967234</c:v>
                </c:pt>
                <c:pt idx="159">
                  <c:v>-4967234</c:v>
                </c:pt>
                <c:pt idx="160">
                  <c:v>-4967234</c:v>
                </c:pt>
                <c:pt idx="161">
                  <c:v>-4967234</c:v>
                </c:pt>
                <c:pt idx="162">
                  <c:v>-4967234</c:v>
                </c:pt>
                <c:pt idx="163">
                  <c:v>-4967234</c:v>
                </c:pt>
                <c:pt idx="164">
                  <c:v>-4967234</c:v>
                </c:pt>
                <c:pt idx="165">
                  <c:v>-4967234</c:v>
                </c:pt>
                <c:pt idx="166">
                  <c:v>-8544735</c:v>
                </c:pt>
                <c:pt idx="167">
                  <c:v>-8544735</c:v>
                </c:pt>
                <c:pt idx="168">
                  <c:v>-8544735</c:v>
                </c:pt>
                <c:pt idx="169">
                  <c:v>-8544735</c:v>
                </c:pt>
                <c:pt idx="170">
                  <c:v>-8439391</c:v>
                </c:pt>
                <c:pt idx="171">
                  <c:v>-8439391</c:v>
                </c:pt>
                <c:pt idx="172">
                  <c:v>-8439391</c:v>
                </c:pt>
                <c:pt idx="173">
                  <c:v>-8439391</c:v>
                </c:pt>
                <c:pt idx="174">
                  <c:v>-8439391</c:v>
                </c:pt>
                <c:pt idx="175">
                  <c:v>-8439391</c:v>
                </c:pt>
                <c:pt idx="176">
                  <c:v>-8439391</c:v>
                </c:pt>
                <c:pt idx="177">
                  <c:v>-8439391</c:v>
                </c:pt>
                <c:pt idx="178">
                  <c:v>-8439391</c:v>
                </c:pt>
                <c:pt idx="179">
                  <c:v>-8439391</c:v>
                </c:pt>
                <c:pt idx="180">
                  <c:v>-8439391</c:v>
                </c:pt>
                <c:pt idx="181">
                  <c:v>-8439391</c:v>
                </c:pt>
                <c:pt idx="182">
                  <c:v>-8439391</c:v>
                </c:pt>
                <c:pt idx="183">
                  <c:v>-8439391</c:v>
                </c:pt>
                <c:pt idx="184">
                  <c:v>-13044477</c:v>
                </c:pt>
                <c:pt idx="185">
                  <c:v>-13044477</c:v>
                </c:pt>
                <c:pt idx="186">
                  <c:v>-13044477</c:v>
                </c:pt>
                <c:pt idx="187">
                  <c:v>-13044477</c:v>
                </c:pt>
                <c:pt idx="188">
                  <c:v>-13044477</c:v>
                </c:pt>
                <c:pt idx="189">
                  <c:v>-13044477</c:v>
                </c:pt>
                <c:pt idx="190">
                  <c:v>-13044477</c:v>
                </c:pt>
                <c:pt idx="191">
                  <c:v>-13044477</c:v>
                </c:pt>
                <c:pt idx="192">
                  <c:v>-10167855</c:v>
                </c:pt>
                <c:pt idx="193">
                  <c:v>-10167855</c:v>
                </c:pt>
                <c:pt idx="194">
                  <c:v>-10167855</c:v>
                </c:pt>
                <c:pt idx="195">
                  <c:v>-12381173</c:v>
                </c:pt>
                <c:pt idx="196">
                  <c:v>-12381173</c:v>
                </c:pt>
                <c:pt idx="197">
                  <c:v>-12381173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BB-4269-9287-23A2FA1A4768}"/>
            </c:ext>
          </c:extLst>
        </c:ser>
        <c:ser>
          <c:idx val="2"/>
          <c:order val="2"/>
          <c:tx>
            <c:strRef>
              <c:f>daily_pnl_close_pairs!$E$1</c:f>
              <c:strCache>
                <c:ptCount val="1"/>
                <c:pt idx="0">
                  <c:v>cash usage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daily_pnl_close_pairs!$A$2:$A$199</c:f>
              <c:strCache>
                <c:ptCount val="198"/>
                <c:pt idx="0">
                  <c:v>2025-01-10</c:v>
                </c:pt>
                <c:pt idx="1">
                  <c:v>2025-01-13</c:v>
                </c:pt>
                <c:pt idx="2">
                  <c:v>2025-01-14</c:v>
                </c:pt>
                <c:pt idx="3">
                  <c:v>2025-01-15</c:v>
                </c:pt>
                <c:pt idx="4">
                  <c:v>2025-01-16</c:v>
                </c:pt>
                <c:pt idx="5">
                  <c:v>2025-01-17</c:v>
                </c:pt>
                <c:pt idx="6">
                  <c:v>2025-01-20</c:v>
                </c:pt>
                <c:pt idx="7">
                  <c:v>2025-01-21</c:v>
                </c:pt>
                <c:pt idx="8">
                  <c:v>2025-01-22</c:v>
                </c:pt>
                <c:pt idx="9">
                  <c:v>2025-01-23</c:v>
                </c:pt>
                <c:pt idx="10">
                  <c:v>2025-01-24</c:v>
                </c:pt>
                <c:pt idx="11">
                  <c:v>2025-01-27</c:v>
                </c:pt>
                <c:pt idx="12">
                  <c:v>2025-01-28</c:v>
                </c:pt>
                <c:pt idx="13">
                  <c:v>2025-01-29</c:v>
                </c:pt>
                <c:pt idx="14">
                  <c:v>2025-01-30</c:v>
                </c:pt>
                <c:pt idx="15">
                  <c:v>2025-01-31</c:v>
                </c:pt>
                <c:pt idx="16">
                  <c:v>2025-02-03</c:v>
                </c:pt>
                <c:pt idx="17">
                  <c:v>2025-02-04</c:v>
                </c:pt>
                <c:pt idx="18">
                  <c:v>2025-02-05</c:v>
                </c:pt>
                <c:pt idx="19">
                  <c:v>2025-02-06</c:v>
                </c:pt>
                <c:pt idx="20">
                  <c:v>2025-02-07</c:v>
                </c:pt>
                <c:pt idx="21">
                  <c:v>2025-02-10</c:v>
                </c:pt>
                <c:pt idx="22">
                  <c:v>2025-02-11</c:v>
                </c:pt>
                <c:pt idx="23">
                  <c:v>2025-02-12</c:v>
                </c:pt>
                <c:pt idx="24">
                  <c:v>2025-02-13</c:v>
                </c:pt>
                <c:pt idx="25">
                  <c:v>2025-02-14</c:v>
                </c:pt>
                <c:pt idx="26">
                  <c:v>2025-02-17</c:v>
                </c:pt>
                <c:pt idx="27">
                  <c:v>2025-02-18</c:v>
                </c:pt>
                <c:pt idx="28">
                  <c:v>2025-02-19</c:v>
                </c:pt>
                <c:pt idx="29">
                  <c:v>2025-02-20</c:v>
                </c:pt>
                <c:pt idx="30">
                  <c:v>2025-02-21</c:v>
                </c:pt>
                <c:pt idx="31">
                  <c:v>2025-02-24</c:v>
                </c:pt>
                <c:pt idx="32">
                  <c:v>2025-02-25</c:v>
                </c:pt>
                <c:pt idx="33">
                  <c:v>2025-02-26</c:v>
                </c:pt>
                <c:pt idx="34">
                  <c:v>2025-02-27</c:v>
                </c:pt>
                <c:pt idx="35">
                  <c:v>2025-02-28</c:v>
                </c:pt>
                <c:pt idx="36">
                  <c:v>2025-03-03</c:v>
                </c:pt>
                <c:pt idx="37">
                  <c:v>2025-03-04</c:v>
                </c:pt>
                <c:pt idx="38">
                  <c:v>2025-03-05</c:v>
                </c:pt>
                <c:pt idx="39">
                  <c:v>2025-03-06</c:v>
                </c:pt>
                <c:pt idx="40">
                  <c:v>2025-03-07</c:v>
                </c:pt>
                <c:pt idx="41">
                  <c:v>2025-03-10</c:v>
                </c:pt>
                <c:pt idx="42">
                  <c:v>2025-03-11</c:v>
                </c:pt>
                <c:pt idx="43">
                  <c:v>2025-03-12</c:v>
                </c:pt>
                <c:pt idx="44">
                  <c:v>2025-03-13</c:v>
                </c:pt>
                <c:pt idx="45">
                  <c:v>2025-03-14</c:v>
                </c:pt>
                <c:pt idx="46">
                  <c:v>2025-03-17</c:v>
                </c:pt>
                <c:pt idx="47">
                  <c:v>2025-03-18</c:v>
                </c:pt>
                <c:pt idx="48">
                  <c:v>2025-03-19</c:v>
                </c:pt>
                <c:pt idx="49">
                  <c:v>2025-03-20</c:v>
                </c:pt>
                <c:pt idx="50">
                  <c:v>2025-03-21</c:v>
                </c:pt>
                <c:pt idx="51">
                  <c:v>2025-03-24</c:v>
                </c:pt>
                <c:pt idx="52">
                  <c:v>2025-03-25</c:v>
                </c:pt>
                <c:pt idx="53">
                  <c:v>2025-03-26</c:v>
                </c:pt>
                <c:pt idx="54">
                  <c:v>2025-03-27</c:v>
                </c:pt>
                <c:pt idx="55">
                  <c:v>2025-03-28</c:v>
                </c:pt>
                <c:pt idx="56">
                  <c:v>2025-03-31</c:v>
                </c:pt>
                <c:pt idx="57">
                  <c:v>2025-04-01</c:v>
                </c:pt>
                <c:pt idx="58">
                  <c:v>2025-04-02</c:v>
                </c:pt>
                <c:pt idx="59">
                  <c:v>2025-04-03</c:v>
                </c:pt>
                <c:pt idx="60">
                  <c:v>2025-04-04</c:v>
                </c:pt>
                <c:pt idx="61">
                  <c:v>2025-04-07</c:v>
                </c:pt>
                <c:pt idx="62">
                  <c:v>2025-04-08</c:v>
                </c:pt>
                <c:pt idx="63">
                  <c:v>2025-04-09</c:v>
                </c:pt>
                <c:pt idx="64">
                  <c:v>2025-04-10</c:v>
                </c:pt>
                <c:pt idx="65">
                  <c:v>2025-04-11</c:v>
                </c:pt>
                <c:pt idx="66">
                  <c:v>2025-04-14</c:v>
                </c:pt>
                <c:pt idx="67">
                  <c:v>2025-04-15</c:v>
                </c:pt>
                <c:pt idx="68">
                  <c:v>2025-04-16</c:v>
                </c:pt>
                <c:pt idx="69">
                  <c:v>2025-04-17</c:v>
                </c:pt>
                <c:pt idx="70">
                  <c:v>2025-04-18</c:v>
                </c:pt>
                <c:pt idx="71">
                  <c:v>2025-04-21</c:v>
                </c:pt>
                <c:pt idx="72">
                  <c:v>2025-04-22</c:v>
                </c:pt>
                <c:pt idx="73">
                  <c:v>2025-04-23</c:v>
                </c:pt>
                <c:pt idx="74">
                  <c:v>2025-04-24</c:v>
                </c:pt>
                <c:pt idx="75">
                  <c:v>2025-04-25</c:v>
                </c:pt>
                <c:pt idx="76">
                  <c:v>2025-04-28</c:v>
                </c:pt>
                <c:pt idx="77">
                  <c:v>2025-04-29</c:v>
                </c:pt>
                <c:pt idx="78">
                  <c:v>2025-04-30</c:v>
                </c:pt>
                <c:pt idx="79">
                  <c:v>2025-05-01</c:v>
                </c:pt>
                <c:pt idx="80">
                  <c:v>2025-05-02</c:v>
                </c:pt>
                <c:pt idx="81">
                  <c:v>2025-05-05</c:v>
                </c:pt>
                <c:pt idx="82">
                  <c:v>2025-05-06</c:v>
                </c:pt>
                <c:pt idx="83">
                  <c:v>2025-05-07</c:v>
                </c:pt>
                <c:pt idx="84">
                  <c:v>2025-05-08</c:v>
                </c:pt>
                <c:pt idx="85">
                  <c:v>2025-05-09</c:v>
                </c:pt>
                <c:pt idx="86">
                  <c:v>2025-05-12</c:v>
                </c:pt>
                <c:pt idx="87">
                  <c:v>2025-05-13</c:v>
                </c:pt>
                <c:pt idx="88">
                  <c:v>2025-05-14</c:v>
                </c:pt>
                <c:pt idx="89">
                  <c:v>2025-05-15</c:v>
                </c:pt>
                <c:pt idx="90">
                  <c:v>2025-05-16</c:v>
                </c:pt>
                <c:pt idx="91">
                  <c:v>2025-05-19</c:v>
                </c:pt>
                <c:pt idx="92">
                  <c:v>2025-05-20</c:v>
                </c:pt>
                <c:pt idx="93">
                  <c:v>2025-05-21</c:v>
                </c:pt>
                <c:pt idx="94">
                  <c:v>2025-05-22</c:v>
                </c:pt>
                <c:pt idx="95">
                  <c:v>2025-05-23</c:v>
                </c:pt>
                <c:pt idx="96">
                  <c:v>2025-05-26</c:v>
                </c:pt>
                <c:pt idx="97">
                  <c:v>2025-05-27</c:v>
                </c:pt>
                <c:pt idx="98">
                  <c:v>2025-05-28</c:v>
                </c:pt>
                <c:pt idx="99">
                  <c:v>2025-05-29</c:v>
                </c:pt>
                <c:pt idx="100">
                  <c:v>2025-05-30</c:v>
                </c:pt>
                <c:pt idx="101">
                  <c:v>2025-06-02</c:v>
                </c:pt>
                <c:pt idx="102">
                  <c:v>2025-06-03</c:v>
                </c:pt>
                <c:pt idx="103">
                  <c:v>2025-06-04</c:v>
                </c:pt>
                <c:pt idx="104">
                  <c:v>2025-06-05</c:v>
                </c:pt>
                <c:pt idx="105">
                  <c:v>2025-06-06</c:v>
                </c:pt>
                <c:pt idx="106">
                  <c:v>2025-06-09</c:v>
                </c:pt>
                <c:pt idx="107">
                  <c:v>2025-06-10</c:v>
                </c:pt>
                <c:pt idx="108">
                  <c:v>2025-06-11</c:v>
                </c:pt>
                <c:pt idx="109">
                  <c:v>2025-06-12</c:v>
                </c:pt>
                <c:pt idx="110">
                  <c:v>2025-06-13</c:v>
                </c:pt>
                <c:pt idx="111">
                  <c:v>2025-06-16</c:v>
                </c:pt>
                <c:pt idx="112">
                  <c:v>2025-06-17</c:v>
                </c:pt>
                <c:pt idx="113">
                  <c:v>2025-06-18</c:v>
                </c:pt>
                <c:pt idx="114">
                  <c:v>2025-06-19</c:v>
                </c:pt>
                <c:pt idx="115">
                  <c:v>2025-06-20</c:v>
                </c:pt>
                <c:pt idx="116">
                  <c:v>2025-06-23</c:v>
                </c:pt>
                <c:pt idx="117">
                  <c:v>2025-06-24</c:v>
                </c:pt>
                <c:pt idx="118">
                  <c:v>2025-06-25</c:v>
                </c:pt>
                <c:pt idx="119">
                  <c:v>2025-06-26</c:v>
                </c:pt>
                <c:pt idx="120">
                  <c:v>2025-06-27</c:v>
                </c:pt>
                <c:pt idx="121">
                  <c:v>2025-06-30</c:v>
                </c:pt>
                <c:pt idx="122">
                  <c:v>2025-07-01</c:v>
                </c:pt>
                <c:pt idx="123">
                  <c:v>2025-07-02</c:v>
                </c:pt>
                <c:pt idx="124">
                  <c:v>2025-07-03</c:v>
                </c:pt>
                <c:pt idx="125">
                  <c:v>2025-07-04</c:v>
                </c:pt>
                <c:pt idx="126">
                  <c:v>2025-07-07</c:v>
                </c:pt>
                <c:pt idx="127">
                  <c:v>2025-07-08</c:v>
                </c:pt>
                <c:pt idx="128">
                  <c:v>2025-07-09</c:v>
                </c:pt>
                <c:pt idx="129">
                  <c:v>2025-07-10</c:v>
                </c:pt>
                <c:pt idx="130">
                  <c:v>2025-07-11</c:v>
                </c:pt>
                <c:pt idx="131">
                  <c:v>2025-07-14</c:v>
                </c:pt>
                <c:pt idx="132">
                  <c:v>2025-07-15</c:v>
                </c:pt>
                <c:pt idx="133">
                  <c:v>2025-07-16</c:v>
                </c:pt>
                <c:pt idx="134">
                  <c:v>2025-07-17</c:v>
                </c:pt>
                <c:pt idx="135">
                  <c:v>2025-07-18</c:v>
                </c:pt>
                <c:pt idx="136">
                  <c:v>2025-07-21</c:v>
                </c:pt>
                <c:pt idx="137">
                  <c:v>2025-07-22</c:v>
                </c:pt>
                <c:pt idx="138">
                  <c:v>2025-07-23</c:v>
                </c:pt>
                <c:pt idx="139">
                  <c:v>2025-07-24</c:v>
                </c:pt>
                <c:pt idx="140">
                  <c:v>2025-07-25</c:v>
                </c:pt>
                <c:pt idx="141">
                  <c:v>2025-07-28</c:v>
                </c:pt>
                <c:pt idx="142">
                  <c:v>2025-07-29</c:v>
                </c:pt>
                <c:pt idx="143">
                  <c:v>2025-07-30</c:v>
                </c:pt>
                <c:pt idx="144">
                  <c:v>2025-07-31</c:v>
                </c:pt>
                <c:pt idx="145">
                  <c:v>2025-08-01</c:v>
                </c:pt>
                <c:pt idx="146">
                  <c:v>2025-08-04</c:v>
                </c:pt>
                <c:pt idx="147">
                  <c:v>2025-08-05</c:v>
                </c:pt>
                <c:pt idx="148">
                  <c:v>2025-08-06</c:v>
                </c:pt>
                <c:pt idx="149">
                  <c:v>2025-08-07</c:v>
                </c:pt>
                <c:pt idx="150">
                  <c:v>2025-08-08</c:v>
                </c:pt>
                <c:pt idx="151">
                  <c:v>2025-08-11</c:v>
                </c:pt>
                <c:pt idx="152">
                  <c:v>2025-08-12</c:v>
                </c:pt>
                <c:pt idx="153">
                  <c:v>2025-08-13</c:v>
                </c:pt>
                <c:pt idx="154">
                  <c:v>2025-08-14</c:v>
                </c:pt>
                <c:pt idx="155">
                  <c:v>2025-08-15</c:v>
                </c:pt>
                <c:pt idx="156">
                  <c:v>2025-08-18</c:v>
                </c:pt>
                <c:pt idx="157">
                  <c:v>2025-08-19</c:v>
                </c:pt>
                <c:pt idx="158">
                  <c:v>2025-08-20</c:v>
                </c:pt>
                <c:pt idx="159">
                  <c:v>2025-08-21</c:v>
                </c:pt>
                <c:pt idx="160">
                  <c:v>2025-08-22</c:v>
                </c:pt>
                <c:pt idx="161">
                  <c:v>2025-08-25</c:v>
                </c:pt>
                <c:pt idx="162">
                  <c:v>2025-08-26</c:v>
                </c:pt>
                <c:pt idx="163">
                  <c:v>2025-08-27</c:v>
                </c:pt>
                <c:pt idx="164">
                  <c:v>2025-08-28</c:v>
                </c:pt>
                <c:pt idx="165">
                  <c:v>2025-08-29</c:v>
                </c:pt>
                <c:pt idx="166">
                  <c:v>2025-09-01</c:v>
                </c:pt>
                <c:pt idx="167">
                  <c:v>2025-09-02</c:v>
                </c:pt>
                <c:pt idx="168">
                  <c:v>2025-09-03</c:v>
                </c:pt>
                <c:pt idx="169">
                  <c:v>2025-09-04</c:v>
                </c:pt>
                <c:pt idx="170">
                  <c:v>2025-09-05</c:v>
                </c:pt>
                <c:pt idx="171">
                  <c:v>2025-09-08</c:v>
                </c:pt>
                <c:pt idx="172">
                  <c:v>2025-09-09</c:v>
                </c:pt>
                <c:pt idx="173">
                  <c:v>2025-09-10</c:v>
                </c:pt>
                <c:pt idx="174">
                  <c:v>2025-09-11</c:v>
                </c:pt>
                <c:pt idx="175">
                  <c:v>2025-09-12</c:v>
                </c:pt>
                <c:pt idx="176">
                  <c:v>2025-09-15</c:v>
                </c:pt>
                <c:pt idx="177">
                  <c:v>2025-09-16</c:v>
                </c:pt>
                <c:pt idx="178">
                  <c:v>2025-09-17</c:v>
                </c:pt>
                <c:pt idx="179">
                  <c:v>2025-09-18</c:v>
                </c:pt>
                <c:pt idx="180">
                  <c:v>2025-09-19</c:v>
                </c:pt>
                <c:pt idx="181">
                  <c:v>2025-09-22</c:v>
                </c:pt>
                <c:pt idx="182">
                  <c:v>2025-09-23</c:v>
                </c:pt>
                <c:pt idx="183">
                  <c:v>2025-09-24</c:v>
                </c:pt>
                <c:pt idx="184">
                  <c:v>2025-09-25</c:v>
                </c:pt>
                <c:pt idx="185">
                  <c:v>2025-09-26</c:v>
                </c:pt>
                <c:pt idx="186">
                  <c:v>2025-09-29</c:v>
                </c:pt>
                <c:pt idx="187">
                  <c:v>2025-09-30</c:v>
                </c:pt>
                <c:pt idx="188">
                  <c:v>2025-10-01</c:v>
                </c:pt>
                <c:pt idx="189">
                  <c:v>2025-10-02</c:v>
                </c:pt>
                <c:pt idx="190">
                  <c:v>2025-10-03</c:v>
                </c:pt>
                <c:pt idx="191">
                  <c:v>2025-10-06</c:v>
                </c:pt>
                <c:pt idx="192">
                  <c:v>2025-10-07</c:v>
                </c:pt>
                <c:pt idx="193">
                  <c:v>2025-10-08</c:v>
                </c:pt>
                <c:pt idx="194">
                  <c:v>2025-10-09</c:v>
                </c:pt>
                <c:pt idx="195">
                  <c:v>2025-10-10</c:v>
                </c:pt>
                <c:pt idx="196">
                  <c:v>2025-10-13</c:v>
                </c:pt>
                <c:pt idx="197">
                  <c:v>2025-10-14</c:v>
                </c:pt>
              </c:strCache>
            </c:strRef>
          </c:cat>
          <c:val>
            <c:numRef>
              <c:f>daily_pnl_close_pairs!$E$2:$E$199</c:f>
              <c:numCache>
                <c:formatCode>General</c:formatCode>
                <c:ptCount val="198"/>
                <c:pt idx="0">
                  <c:v>-1085643</c:v>
                </c:pt>
                <c:pt idx="1">
                  <c:v>-1004909</c:v>
                </c:pt>
                <c:pt idx="2">
                  <c:v>-1184367</c:v>
                </c:pt>
                <c:pt idx="3">
                  <c:v>-1614582</c:v>
                </c:pt>
                <c:pt idx="4">
                  <c:v>-1842153</c:v>
                </c:pt>
                <c:pt idx="5">
                  <c:v>-1847475</c:v>
                </c:pt>
                <c:pt idx="6">
                  <c:v>-1850743</c:v>
                </c:pt>
                <c:pt idx="7">
                  <c:v>-1852870</c:v>
                </c:pt>
                <c:pt idx="8">
                  <c:v>-1858339</c:v>
                </c:pt>
                <c:pt idx="9">
                  <c:v>-1858992</c:v>
                </c:pt>
                <c:pt idx="10">
                  <c:v>-1860714</c:v>
                </c:pt>
                <c:pt idx="11">
                  <c:v>-1856938</c:v>
                </c:pt>
                <c:pt idx="12">
                  <c:v>-1861878</c:v>
                </c:pt>
                <c:pt idx="13">
                  <c:v>-1865017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-3191321</c:v>
                </c:pt>
                <c:pt idx="42">
                  <c:v>-3184283</c:v>
                </c:pt>
                <c:pt idx="43">
                  <c:v>-3174693</c:v>
                </c:pt>
                <c:pt idx="44">
                  <c:v>-3004922</c:v>
                </c:pt>
                <c:pt idx="45">
                  <c:v>-3902470</c:v>
                </c:pt>
                <c:pt idx="46">
                  <c:v>-3983922</c:v>
                </c:pt>
                <c:pt idx="47">
                  <c:v>-3979842</c:v>
                </c:pt>
                <c:pt idx="48">
                  <c:v>-4062649</c:v>
                </c:pt>
                <c:pt idx="49">
                  <c:v>-4027414</c:v>
                </c:pt>
                <c:pt idx="50">
                  <c:v>-1500062</c:v>
                </c:pt>
                <c:pt idx="51">
                  <c:v>-1804975</c:v>
                </c:pt>
                <c:pt idx="52">
                  <c:v>-1850411</c:v>
                </c:pt>
                <c:pt idx="53">
                  <c:v>-1729117</c:v>
                </c:pt>
                <c:pt idx="54">
                  <c:v>-1605267</c:v>
                </c:pt>
                <c:pt idx="55">
                  <c:v>-1388250</c:v>
                </c:pt>
                <c:pt idx="56">
                  <c:v>-1363165</c:v>
                </c:pt>
                <c:pt idx="57">
                  <c:v>-1421437</c:v>
                </c:pt>
                <c:pt idx="58">
                  <c:v>-1464064</c:v>
                </c:pt>
                <c:pt idx="59">
                  <c:v>-997059</c:v>
                </c:pt>
                <c:pt idx="60">
                  <c:v>-213084</c:v>
                </c:pt>
                <c:pt idx="61">
                  <c:v>4006354</c:v>
                </c:pt>
                <c:pt idx="62">
                  <c:v>8045489</c:v>
                </c:pt>
                <c:pt idx="63">
                  <c:v>7272475</c:v>
                </c:pt>
                <c:pt idx="64">
                  <c:v>5455413</c:v>
                </c:pt>
                <c:pt idx="65">
                  <c:v>5339387</c:v>
                </c:pt>
                <c:pt idx="66">
                  <c:v>13118948</c:v>
                </c:pt>
                <c:pt idx="67">
                  <c:v>12965662</c:v>
                </c:pt>
                <c:pt idx="68">
                  <c:v>13599033</c:v>
                </c:pt>
                <c:pt idx="69">
                  <c:v>12960595</c:v>
                </c:pt>
                <c:pt idx="70">
                  <c:v>12646813</c:v>
                </c:pt>
                <c:pt idx="71">
                  <c:v>13712046</c:v>
                </c:pt>
                <c:pt idx="72">
                  <c:v>12713674</c:v>
                </c:pt>
                <c:pt idx="73">
                  <c:v>11587105</c:v>
                </c:pt>
                <c:pt idx="74">
                  <c:v>10891150</c:v>
                </c:pt>
                <c:pt idx="75">
                  <c:v>4471196</c:v>
                </c:pt>
                <c:pt idx="76">
                  <c:v>4476284</c:v>
                </c:pt>
                <c:pt idx="77">
                  <c:v>4476354</c:v>
                </c:pt>
                <c:pt idx="78">
                  <c:v>4604370</c:v>
                </c:pt>
                <c:pt idx="79">
                  <c:v>4544254</c:v>
                </c:pt>
                <c:pt idx="80">
                  <c:v>4167581</c:v>
                </c:pt>
                <c:pt idx="81">
                  <c:v>1788359</c:v>
                </c:pt>
                <c:pt idx="82">
                  <c:v>1817960</c:v>
                </c:pt>
                <c:pt idx="83">
                  <c:v>1484648</c:v>
                </c:pt>
                <c:pt idx="84">
                  <c:v>1378679</c:v>
                </c:pt>
                <c:pt idx="85">
                  <c:v>1399599</c:v>
                </c:pt>
                <c:pt idx="86">
                  <c:v>1001247</c:v>
                </c:pt>
                <c:pt idx="87">
                  <c:v>450568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-1300965</c:v>
                </c:pt>
                <c:pt idx="95">
                  <c:v>-1229443</c:v>
                </c:pt>
                <c:pt idx="96">
                  <c:v>-1257072</c:v>
                </c:pt>
                <c:pt idx="97">
                  <c:v>-1507060</c:v>
                </c:pt>
                <c:pt idx="98">
                  <c:v>-1470622</c:v>
                </c:pt>
                <c:pt idx="99">
                  <c:v>-1495263</c:v>
                </c:pt>
                <c:pt idx="100">
                  <c:v>-1515169</c:v>
                </c:pt>
                <c:pt idx="101">
                  <c:v>-1606755</c:v>
                </c:pt>
                <c:pt idx="102">
                  <c:v>-1606755</c:v>
                </c:pt>
                <c:pt idx="103">
                  <c:v>-1621350</c:v>
                </c:pt>
                <c:pt idx="104">
                  <c:v>-1611419</c:v>
                </c:pt>
                <c:pt idx="105">
                  <c:v>-1693383</c:v>
                </c:pt>
                <c:pt idx="106">
                  <c:v>-1729212</c:v>
                </c:pt>
                <c:pt idx="107">
                  <c:v>-1790474</c:v>
                </c:pt>
                <c:pt idx="108">
                  <c:v>-1804245</c:v>
                </c:pt>
                <c:pt idx="109">
                  <c:v>-1814094</c:v>
                </c:pt>
                <c:pt idx="110">
                  <c:v>-1669370</c:v>
                </c:pt>
                <c:pt idx="111">
                  <c:v>-1806563</c:v>
                </c:pt>
                <c:pt idx="112">
                  <c:v>-1645382</c:v>
                </c:pt>
                <c:pt idx="113">
                  <c:v>-1673260</c:v>
                </c:pt>
                <c:pt idx="114">
                  <c:v>-5032183</c:v>
                </c:pt>
                <c:pt idx="115">
                  <c:v>-5069738</c:v>
                </c:pt>
                <c:pt idx="116">
                  <c:v>-5225820</c:v>
                </c:pt>
                <c:pt idx="117">
                  <c:v>-5652392</c:v>
                </c:pt>
                <c:pt idx="118">
                  <c:v>-5583370</c:v>
                </c:pt>
                <c:pt idx="119">
                  <c:v>-5766380</c:v>
                </c:pt>
                <c:pt idx="120">
                  <c:v>-5822124</c:v>
                </c:pt>
                <c:pt idx="121">
                  <c:v>-6062539</c:v>
                </c:pt>
                <c:pt idx="122">
                  <c:v>-4935747</c:v>
                </c:pt>
                <c:pt idx="123">
                  <c:v>-5011195</c:v>
                </c:pt>
                <c:pt idx="124">
                  <c:v>-5401609</c:v>
                </c:pt>
                <c:pt idx="125">
                  <c:v>-5413586</c:v>
                </c:pt>
                <c:pt idx="126">
                  <c:v>-1646954</c:v>
                </c:pt>
                <c:pt idx="127">
                  <c:v>-1610160</c:v>
                </c:pt>
                <c:pt idx="128">
                  <c:v>-1667615</c:v>
                </c:pt>
                <c:pt idx="129">
                  <c:v>-1676988</c:v>
                </c:pt>
                <c:pt idx="130">
                  <c:v>-1639403</c:v>
                </c:pt>
                <c:pt idx="131">
                  <c:v>-1622700</c:v>
                </c:pt>
                <c:pt idx="132">
                  <c:v>-1570555</c:v>
                </c:pt>
                <c:pt idx="133">
                  <c:v>-1572787</c:v>
                </c:pt>
                <c:pt idx="134">
                  <c:v>-1625776</c:v>
                </c:pt>
                <c:pt idx="135">
                  <c:v>-1634695</c:v>
                </c:pt>
                <c:pt idx="136">
                  <c:v>-1663064</c:v>
                </c:pt>
                <c:pt idx="137">
                  <c:v>-1651288</c:v>
                </c:pt>
                <c:pt idx="138">
                  <c:v>-1707052</c:v>
                </c:pt>
                <c:pt idx="139">
                  <c:v>-1705766</c:v>
                </c:pt>
                <c:pt idx="140">
                  <c:v>-1710995</c:v>
                </c:pt>
                <c:pt idx="141">
                  <c:v>-1693018</c:v>
                </c:pt>
                <c:pt idx="142">
                  <c:v>-1650082</c:v>
                </c:pt>
                <c:pt idx="143">
                  <c:v>-1628550</c:v>
                </c:pt>
                <c:pt idx="144">
                  <c:v>-1618835</c:v>
                </c:pt>
                <c:pt idx="145">
                  <c:v>-2058356</c:v>
                </c:pt>
                <c:pt idx="146">
                  <c:v>-2278713</c:v>
                </c:pt>
                <c:pt idx="147">
                  <c:v>-2379481</c:v>
                </c:pt>
                <c:pt idx="148">
                  <c:v>-1123376</c:v>
                </c:pt>
                <c:pt idx="149">
                  <c:v>-1134725</c:v>
                </c:pt>
                <c:pt idx="150">
                  <c:v>-1297441</c:v>
                </c:pt>
                <c:pt idx="151">
                  <c:v>-1252772</c:v>
                </c:pt>
                <c:pt idx="152">
                  <c:v>-1439789</c:v>
                </c:pt>
                <c:pt idx="153">
                  <c:v>-1572948</c:v>
                </c:pt>
                <c:pt idx="154">
                  <c:v>-410451</c:v>
                </c:pt>
                <c:pt idx="155">
                  <c:v>-443241</c:v>
                </c:pt>
                <c:pt idx="156">
                  <c:v>-442671</c:v>
                </c:pt>
                <c:pt idx="157">
                  <c:v>-373067</c:v>
                </c:pt>
                <c:pt idx="158">
                  <c:v>-313937</c:v>
                </c:pt>
                <c:pt idx="159">
                  <c:v>-237825</c:v>
                </c:pt>
                <c:pt idx="160">
                  <c:v>-608839</c:v>
                </c:pt>
                <c:pt idx="161">
                  <c:v>-586948</c:v>
                </c:pt>
                <c:pt idx="162">
                  <c:v>-591042</c:v>
                </c:pt>
                <c:pt idx="163">
                  <c:v>-504849</c:v>
                </c:pt>
                <c:pt idx="164">
                  <c:v>-577154</c:v>
                </c:pt>
                <c:pt idx="165">
                  <c:v>-507080</c:v>
                </c:pt>
                <c:pt idx="166">
                  <c:v>6068583</c:v>
                </c:pt>
                <c:pt idx="167">
                  <c:v>5968290</c:v>
                </c:pt>
                <c:pt idx="168">
                  <c:v>5892003</c:v>
                </c:pt>
                <c:pt idx="169">
                  <c:v>5414848</c:v>
                </c:pt>
                <c:pt idx="170">
                  <c:v>3551442</c:v>
                </c:pt>
                <c:pt idx="171">
                  <c:v>3508812</c:v>
                </c:pt>
                <c:pt idx="172">
                  <c:v>3555336</c:v>
                </c:pt>
                <c:pt idx="173">
                  <c:v>3294374</c:v>
                </c:pt>
                <c:pt idx="174">
                  <c:v>2821028</c:v>
                </c:pt>
                <c:pt idx="175">
                  <c:v>2845319</c:v>
                </c:pt>
                <c:pt idx="176">
                  <c:v>2478544</c:v>
                </c:pt>
                <c:pt idx="177">
                  <c:v>2423890</c:v>
                </c:pt>
                <c:pt idx="178">
                  <c:v>2595332</c:v>
                </c:pt>
                <c:pt idx="179">
                  <c:v>2285679</c:v>
                </c:pt>
                <c:pt idx="180">
                  <c:v>2357863</c:v>
                </c:pt>
                <c:pt idx="181">
                  <c:v>2261379</c:v>
                </c:pt>
                <c:pt idx="182">
                  <c:v>2288174</c:v>
                </c:pt>
                <c:pt idx="183">
                  <c:v>2434409</c:v>
                </c:pt>
                <c:pt idx="184">
                  <c:v>-1021851</c:v>
                </c:pt>
                <c:pt idx="185">
                  <c:v>-1345940</c:v>
                </c:pt>
                <c:pt idx="186">
                  <c:v>-1779732</c:v>
                </c:pt>
                <c:pt idx="187">
                  <c:v>-1705608</c:v>
                </c:pt>
                <c:pt idx="188">
                  <c:v>-1863877</c:v>
                </c:pt>
                <c:pt idx="189">
                  <c:v>-1838805</c:v>
                </c:pt>
                <c:pt idx="190">
                  <c:v>-1861480</c:v>
                </c:pt>
                <c:pt idx="191">
                  <c:v>-2139889</c:v>
                </c:pt>
                <c:pt idx="192">
                  <c:v>665951</c:v>
                </c:pt>
                <c:pt idx="193">
                  <c:v>800697</c:v>
                </c:pt>
                <c:pt idx="194">
                  <c:v>909785</c:v>
                </c:pt>
                <c:pt idx="195">
                  <c:v>7495847</c:v>
                </c:pt>
                <c:pt idx="196">
                  <c:v>7476239</c:v>
                </c:pt>
                <c:pt idx="197">
                  <c:v>7443506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BB-4269-9287-23A2FA1A4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9648384"/>
        <c:axId val="419648864"/>
      </c:lineChart>
      <c:catAx>
        <c:axId val="68199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000544"/>
        <c:crosses val="autoZero"/>
        <c:auto val="1"/>
        <c:lblAlgn val="ctr"/>
        <c:lblOffset val="100"/>
        <c:noMultiLvlLbl val="0"/>
      </c:catAx>
      <c:valAx>
        <c:axId val="68200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999104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Millions (PnL)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419648864"/>
        <c:scaling>
          <c:orientation val="minMax"/>
          <c:max val="900000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648384"/>
        <c:crosses val="max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Millions (cash usage,</a:t>
                  </a:r>
                  <a:r>
                    <a:rPr lang="en-GB" baseline="0"/>
                    <a:t> net upfront)</a:t>
                  </a:r>
                  <a:endParaRPr lang="en-GB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B"/>
              </a:p>
            </c:txPr>
          </c:dispUnitsLbl>
        </c:dispUnits>
      </c:valAx>
      <c:catAx>
        <c:axId val="4196483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196488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6</xdr:row>
      <xdr:rowOff>0</xdr:rowOff>
    </xdr:from>
    <xdr:to>
      <xdr:col>18</xdr:col>
      <xdr:colOff>14287</xdr:colOff>
      <xdr:row>23</xdr:row>
      <xdr:rowOff>185737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08ED75A-C672-4B01-A3B3-39ABC23AE6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419100</xdr:colOff>
      <xdr:row>11</xdr:row>
      <xdr:rowOff>138112</xdr:rowOff>
    </xdr:from>
    <xdr:to>
      <xdr:col>17</xdr:col>
      <xdr:colOff>114300</xdr:colOff>
      <xdr:row>26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C6EF34-9D30-9CDF-BC07-C46CADA6E6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13</xdr:col>
      <xdr:colOff>304800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BC5BE0-7201-4DB9-A89F-54F42E8831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"/>
  <sheetViews>
    <sheetView tabSelected="1" zoomScale="70" zoomScaleNormal="70" workbookViewId="0">
      <selection activeCell="D42" sqref="D42"/>
    </sheetView>
  </sheetViews>
  <sheetFormatPr defaultRowHeight="15" x14ac:dyDescent="0.25"/>
  <cols>
    <col min="1" max="1" width="22.5703125" bestFit="1" customWidth="1"/>
    <col min="17" max="18" width="16.140625" bestFit="1" customWidth="1"/>
    <col min="26" max="26" width="34.85546875" bestFit="1" customWidth="1"/>
    <col min="27" max="27" width="14.5703125" bestFit="1" customWidth="1"/>
    <col min="29" max="29" width="12.140625" bestFit="1" customWidth="1"/>
    <col min="30" max="31" width="13.85546875" bestFit="1" customWidth="1"/>
    <col min="32" max="32" width="13.85546875" style="3" bestFit="1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34" t="s">
        <v>1786</v>
      </c>
      <c r="AG1" s="33" t="s">
        <v>1787</v>
      </c>
      <c r="AH1" s="33" t="s">
        <v>1788</v>
      </c>
    </row>
    <row r="2" spans="1:34" x14ac:dyDescent="0.25">
      <c r="A2" s="2">
        <v>45667</v>
      </c>
      <c r="B2" t="s">
        <v>31</v>
      </c>
      <c r="C2">
        <v>42</v>
      </c>
      <c r="D2" t="s">
        <v>32</v>
      </c>
      <c r="E2" t="s">
        <v>33</v>
      </c>
      <c r="F2" t="s">
        <v>34</v>
      </c>
      <c r="G2" t="s">
        <v>35</v>
      </c>
      <c r="H2">
        <v>41</v>
      </c>
      <c r="I2" t="s">
        <v>36</v>
      </c>
      <c r="J2" t="s">
        <v>33</v>
      </c>
      <c r="K2" t="s">
        <v>37</v>
      </c>
      <c r="L2" t="s">
        <v>38</v>
      </c>
      <c r="M2">
        <v>0.19</v>
      </c>
      <c r="N2">
        <v>38.200000000000003</v>
      </c>
      <c r="O2">
        <v>204.7</v>
      </c>
      <c r="P2">
        <v>164.1</v>
      </c>
      <c r="Q2" s="3">
        <v>2900000</v>
      </c>
      <c r="R2" s="3">
        <v>15000000</v>
      </c>
      <c r="S2">
        <v>-2382429</v>
      </c>
      <c r="T2">
        <v>215</v>
      </c>
      <c r="U2">
        <v>34</v>
      </c>
      <c r="W2">
        <v>-2040486</v>
      </c>
      <c r="X2" t="s">
        <v>39</v>
      </c>
      <c r="Y2" t="s">
        <v>40</v>
      </c>
      <c r="Z2" t="s">
        <v>41</v>
      </c>
      <c r="AA2" t="s">
        <v>42</v>
      </c>
      <c r="AC2" s="3">
        <v>59362.999999999993</v>
      </c>
      <c r="AD2" s="3">
        <v>107054.75701574259</v>
      </c>
      <c r="AE2" s="3">
        <v>107054.75701574259</v>
      </c>
      <c r="AF2" s="3">
        <f>VALUE(SUBSTITUTE(LEFT(Z2, FIND(" ", Z2) - 1), ",", ""))</f>
        <v>115652</v>
      </c>
      <c r="AG2">
        <f>AF2/AC2</f>
        <v>1.9482169027845631</v>
      </c>
      <c r="AH2">
        <f>AG2/(P2/100)</f>
        <v>1.1872132253409891</v>
      </c>
    </row>
    <row r="3" spans="1:34" x14ac:dyDescent="0.25">
      <c r="A3" s="35">
        <v>45667</v>
      </c>
      <c r="B3" s="36" t="s">
        <v>43</v>
      </c>
      <c r="C3" s="36">
        <v>42</v>
      </c>
      <c r="D3" s="36" t="s">
        <v>36</v>
      </c>
      <c r="E3" s="36" t="s">
        <v>33</v>
      </c>
      <c r="F3" s="36" t="s">
        <v>37</v>
      </c>
      <c r="G3" s="36" t="s">
        <v>35</v>
      </c>
      <c r="H3" s="36">
        <v>43</v>
      </c>
      <c r="I3" s="36" t="s">
        <v>44</v>
      </c>
      <c r="J3" s="36" t="s">
        <v>33</v>
      </c>
      <c r="K3" s="36" t="s">
        <v>34</v>
      </c>
      <c r="L3" s="36" t="s">
        <v>38</v>
      </c>
      <c r="M3" s="36">
        <v>0.69</v>
      </c>
      <c r="N3" s="36">
        <v>366.9</v>
      </c>
      <c r="O3" s="36">
        <v>31.4</v>
      </c>
      <c r="P3" s="36">
        <v>159.1</v>
      </c>
      <c r="Q3" s="37">
        <v>34500000</v>
      </c>
      <c r="R3" s="37">
        <v>50000000</v>
      </c>
      <c r="S3" s="36">
        <v>-3105875</v>
      </c>
      <c r="T3" s="36">
        <v>92</v>
      </c>
      <c r="U3" s="36">
        <v>318</v>
      </c>
      <c r="V3" s="36"/>
      <c r="W3" s="36">
        <v>-465491</v>
      </c>
      <c r="X3" s="36" t="s">
        <v>45</v>
      </c>
      <c r="Y3" s="36" t="s">
        <v>46</v>
      </c>
      <c r="Z3" s="36" t="s">
        <v>47</v>
      </c>
      <c r="AA3" t="s">
        <v>48</v>
      </c>
      <c r="AC3" s="3">
        <v>108330</v>
      </c>
      <c r="AD3" s="3">
        <v>6288960.9856262831</v>
      </c>
      <c r="AE3" s="3">
        <v>3104669.2783010881</v>
      </c>
      <c r="AF3" s="3">
        <f t="shared" ref="AF3:AF32" si="0">VALUE(SUBSTITUTE(LEFT(Z3, FIND(" ", Z3) - 1), ",", ""))</f>
        <v>1410977</v>
      </c>
      <c r="AG3">
        <f t="shared" ref="AG3:AG32" si="1">AF3/AC3</f>
        <v>13.024803840118157</v>
      </c>
      <c r="AH3">
        <f t="shared" ref="AH3:AH32" si="2">AG3/(P3/100)</f>
        <v>8.1865517536883452</v>
      </c>
    </row>
    <row r="4" spans="1:34" x14ac:dyDescent="0.25">
      <c r="A4" s="2">
        <v>45667</v>
      </c>
      <c r="B4" t="s">
        <v>35</v>
      </c>
      <c r="C4">
        <v>43</v>
      </c>
      <c r="D4" t="s">
        <v>49</v>
      </c>
      <c r="E4" t="s">
        <v>33</v>
      </c>
      <c r="F4" t="s">
        <v>34</v>
      </c>
      <c r="G4" t="s">
        <v>35</v>
      </c>
      <c r="H4">
        <v>41</v>
      </c>
      <c r="I4" t="s">
        <v>36</v>
      </c>
      <c r="J4" t="s">
        <v>33</v>
      </c>
      <c r="K4" t="s">
        <v>37</v>
      </c>
      <c r="L4" t="s">
        <v>38</v>
      </c>
      <c r="M4">
        <v>0.15</v>
      </c>
      <c r="N4">
        <v>163.19999999999999</v>
      </c>
      <c r="O4">
        <v>278.2</v>
      </c>
      <c r="P4">
        <v>151.9</v>
      </c>
      <c r="Q4" s="3">
        <v>2300000</v>
      </c>
      <c r="R4" s="3">
        <v>15000000</v>
      </c>
      <c r="S4">
        <v>-2128283</v>
      </c>
      <c r="T4">
        <v>395</v>
      </c>
      <c r="U4">
        <v>34</v>
      </c>
      <c r="W4">
        <v>-1853632</v>
      </c>
      <c r="X4" t="s">
        <v>50</v>
      </c>
      <c r="Y4" t="s">
        <v>51</v>
      </c>
      <c r="Z4" t="s">
        <v>52</v>
      </c>
      <c r="AA4" t="s">
        <v>53</v>
      </c>
      <c r="AC4" s="3">
        <v>63985.999999999993</v>
      </c>
      <c r="AD4" s="3">
        <v>247896.6461327858</v>
      </c>
      <c r="AE4" s="3">
        <v>247896.6461327858</v>
      </c>
      <c r="AF4" s="3">
        <f t="shared" si="0"/>
        <v>118289</v>
      </c>
      <c r="AG4">
        <f t="shared" si="1"/>
        <v>1.848670021567218</v>
      </c>
      <c r="AH4">
        <f t="shared" si="2"/>
        <v>1.2170309556071217</v>
      </c>
    </row>
    <row r="5" spans="1:34" x14ac:dyDescent="0.25">
      <c r="A5" s="35">
        <v>45726</v>
      </c>
      <c r="B5" s="36" t="s">
        <v>54</v>
      </c>
      <c r="C5" s="36">
        <v>43</v>
      </c>
      <c r="D5" s="36" t="s">
        <v>55</v>
      </c>
      <c r="E5" s="36" t="s">
        <v>33</v>
      </c>
      <c r="F5" s="36" t="s">
        <v>34</v>
      </c>
      <c r="G5" s="36" t="s">
        <v>43</v>
      </c>
      <c r="H5" s="36">
        <v>42</v>
      </c>
      <c r="I5" s="36" t="s">
        <v>36</v>
      </c>
      <c r="J5" s="36" t="s">
        <v>33</v>
      </c>
      <c r="K5" s="36" t="s">
        <v>37</v>
      </c>
      <c r="L5" s="36" t="s">
        <v>38</v>
      </c>
      <c r="M5" s="36">
        <v>0.44</v>
      </c>
      <c r="N5" s="36">
        <v>4.3</v>
      </c>
      <c r="O5" s="36">
        <v>53.2</v>
      </c>
      <c r="P5" s="36">
        <v>971</v>
      </c>
      <c r="Q5" s="37">
        <v>15000000</v>
      </c>
      <c r="R5" s="37">
        <v>34200000</v>
      </c>
      <c r="S5" s="36">
        <v>-7108586</v>
      </c>
      <c r="T5" s="36">
        <v>218</v>
      </c>
      <c r="U5" s="36">
        <v>86</v>
      </c>
      <c r="V5" s="36"/>
      <c r="W5" s="36">
        <v>-5193500</v>
      </c>
      <c r="X5" s="36" t="s">
        <v>56</v>
      </c>
      <c r="Y5" s="36" t="s">
        <v>57</v>
      </c>
      <c r="Z5" s="36" t="s">
        <v>58</v>
      </c>
      <c r="AA5" t="s">
        <v>42</v>
      </c>
      <c r="AC5" s="3">
        <v>79800</v>
      </c>
      <c r="AD5" s="3">
        <v>157175.85215605749</v>
      </c>
      <c r="AE5" s="3">
        <v>157175.85215605749</v>
      </c>
      <c r="AF5" s="3">
        <f t="shared" si="0"/>
        <v>273153</v>
      </c>
      <c r="AG5">
        <f t="shared" si="1"/>
        <v>3.4229699248120302</v>
      </c>
      <c r="AH5">
        <f t="shared" si="2"/>
        <v>0.3525200746459351</v>
      </c>
    </row>
    <row r="6" spans="1:34" x14ac:dyDescent="0.25">
      <c r="A6" s="35">
        <v>45726</v>
      </c>
      <c r="B6" s="36" t="s">
        <v>54</v>
      </c>
      <c r="C6" s="36">
        <v>43</v>
      </c>
      <c r="D6" s="36" t="s">
        <v>55</v>
      </c>
      <c r="E6" s="36" t="s">
        <v>33</v>
      </c>
      <c r="F6" s="36" t="s">
        <v>34</v>
      </c>
      <c r="G6" s="36" t="s">
        <v>54</v>
      </c>
      <c r="H6" s="36">
        <v>41</v>
      </c>
      <c r="I6" s="36" t="s">
        <v>44</v>
      </c>
      <c r="J6" s="36" t="s">
        <v>33</v>
      </c>
      <c r="K6" s="36" t="s">
        <v>37</v>
      </c>
      <c r="L6" s="36" t="s">
        <v>38</v>
      </c>
      <c r="M6" s="36">
        <v>0.18</v>
      </c>
      <c r="N6" s="36">
        <v>10.8</v>
      </c>
      <c r="O6" s="36">
        <v>54</v>
      </c>
      <c r="P6" s="36">
        <v>603.29999999999995</v>
      </c>
      <c r="Q6" s="37">
        <v>15000000</v>
      </c>
      <c r="R6" s="37">
        <v>82700000</v>
      </c>
      <c r="S6" s="36">
        <v>-2275997</v>
      </c>
      <c r="T6" s="36">
        <v>218</v>
      </c>
      <c r="U6" s="36">
        <v>37</v>
      </c>
      <c r="V6" s="36"/>
      <c r="W6" s="36">
        <v>-360911</v>
      </c>
      <c r="X6" s="36" t="s">
        <v>59</v>
      </c>
      <c r="Y6" s="36" t="s">
        <v>60</v>
      </c>
      <c r="Z6" s="36" t="s">
        <v>61</v>
      </c>
      <c r="AA6" t="s">
        <v>62</v>
      </c>
      <c r="AC6" s="3">
        <v>81000</v>
      </c>
      <c r="AD6" s="3">
        <v>406214.40109514049</v>
      </c>
      <c r="AE6" s="3">
        <v>1460970.2231496191</v>
      </c>
      <c r="AF6" s="3">
        <f t="shared" si="0"/>
        <v>321359</v>
      </c>
      <c r="AG6">
        <f t="shared" si="1"/>
        <v>3.9673950617283951</v>
      </c>
      <c r="AH6">
        <f t="shared" si="2"/>
        <v>0.65761562435411824</v>
      </c>
    </row>
    <row r="7" spans="1:34" x14ac:dyDescent="0.25">
      <c r="A7" s="2">
        <v>45726</v>
      </c>
      <c r="B7" t="s">
        <v>54</v>
      </c>
      <c r="C7">
        <v>43</v>
      </c>
      <c r="D7" t="s">
        <v>63</v>
      </c>
      <c r="E7" t="s">
        <v>33</v>
      </c>
      <c r="F7" t="s">
        <v>34</v>
      </c>
      <c r="G7" t="s">
        <v>43</v>
      </c>
      <c r="H7">
        <v>40</v>
      </c>
      <c r="I7" t="s">
        <v>44</v>
      </c>
      <c r="J7" t="s">
        <v>33</v>
      </c>
      <c r="K7" t="s">
        <v>37</v>
      </c>
      <c r="L7" t="s">
        <v>38</v>
      </c>
      <c r="M7">
        <v>3.59</v>
      </c>
      <c r="N7">
        <v>2.8</v>
      </c>
      <c r="O7">
        <v>56.1</v>
      </c>
      <c r="P7">
        <v>294.2</v>
      </c>
      <c r="Q7" s="3">
        <v>25000000</v>
      </c>
      <c r="R7" s="3">
        <v>7000000</v>
      </c>
      <c r="S7">
        <v>-433466</v>
      </c>
      <c r="T7">
        <v>72</v>
      </c>
      <c r="U7">
        <v>229</v>
      </c>
      <c r="W7">
        <v>-153973</v>
      </c>
      <c r="X7" t="s">
        <v>64</v>
      </c>
      <c r="Y7" t="s">
        <v>65</v>
      </c>
      <c r="Z7" t="s">
        <v>66</v>
      </c>
      <c r="AC7" s="3">
        <v>140250</v>
      </c>
      <c r="AD7" s="3">
        <v>254361.9438740589</v>
      </c>
      <c r="AE7" s="3">
        <v>783416.76975117635</v>
      </c>
      <c r="AF7" s="3">
        <f t="shared" si="0"/>
        <v>116086</v>
      </c>
      <c r="AG7">
        <f t="shared" si="1"/>
        <v>0.8277076648841355</v>
      </c>
      <c r="AH7">
        <f t="shared" si="2"/>
        <v>0.28134183034810861</v>
      </c>
    </row>
    <row r="8" spans="1:34" x14ac:dyDescent="0.25">
      <c r="A8" s="2">
        <v>45737</v>
      </c>
      <c r="B8" t="s">
        <v>35</v>
      </c>
      <c r="C8">
        <v>43</v>
      </c>
      <c r="D8" t="s">
        <v>49</v>
      </c>
      <c r="E8" t="s">
        <v>33</v>
      </c>
      <c r="F8" t="s">
        <v>34</v>
      </c>
      <c r="G8" t="s">
        <v>35</v>
      </c>
      <c r="H8">
        <v>41</v>
      </c>
      <c r="I8" t="s">
        <v>49</v>
      </c>
      <c r="J8" t="s">
        <v>33</v>
      </c>
      <c r="K8" t="s">
        <v>37</v>
      </c>
      <c r="L8" t="s">
        <v>38</v>
      </c>
      <c r="M8">
        <v>1.1100000000000001</v>
      </c>
      <c r="N8">
        <v>142.6</v>
      </c>
      <c r="O8">
        <v>121.7</v>
      </c>
      <c r="P8">
        <v>188.5</v>
      </c>
      <c r="Q8" s="3">
        <v>5000000</v>
      </c>
      <c r="R8" s="3">
        <v>4500000</v>
      </c>
      <c r="S8">
        <v>-160325</v>
      </c>
      <c r="T8">
        <v>447</v>
      </c>
      <c r="U8">
        <v>325</v>
      </c>
      <c r="W8">
        <v>480805</v>
      </c>
      <c r="X8" t="s">
        <v>67</v>
      </c>
      <c r="Y8" t="s">
        <v>68</v>
      </c>
      <c r="Z8" t="s">
        <v>69</v>
      </c>
      <c r="AA8" t="s">
        <v>70</v>
      </c>
      <c r="AC8" s="3">
        <v>60850</v>
      </c>
      <c r="AD8" s="3">
        <v>513100.61601642688</v>
      </c>
      <c r="AE8" s="3">
        <v>513100.61601642688</v>
      </c>
      <c r="AF8" s="3">
        <f t="shared" si="0"/>
        <v>149871</v>
      </c>
      <c r="AG8">
        <f t="shared" si="1"/>
        <v>2.4629580936729663</v>
      </c>
      <c r="AH8">
        <f t="shared" si="2"/>
        <v>1.3066090682615206</v>
      </c>
    </row>
    <row r="9" spans="1:34" x14ac:dyDescent="0.25">
      <c r="A9" s="2">
        <v>45737</v>
      </c>
      <c r="B9" t="s">
        <v>43</v>
      </c>
      <c r="C9">
        <v>42</v>
      </c>
      <c r="D9" t="s">
        <v>36</v>
      </c>
      <c r="E9" t="s">
        <v>33</v>
      </c>
      <c r="F9" t="s">
        <v>37</v>
      </c>
      <c r="G9" t="s">
        <v>54</v>
      </c>
      <c r="H9">
        <v>43</v>
      </c>
      <c r="I9" t="s">
        <v>63</v>
      </c>
      <c r="J9" t="s">
        <v>33</v>
      </c>
      <c r="K9" t="s">
        <v>34</v>
      </c>
      <c r="L9" t="s">
        <v>38</v>
      </c>
      <c r="M9">
        <v>0.24</v>
      </c>
      <c r="N9">
        <v>201.2</v>
      </c>
      <c r="O9">
        <v>127.9</v>
      </c>
      <c r="P9">
        <v>169.2</v>
      </c>
      <c r="Q9" s="3">
        <v>6000000</v>
      </c>
      <c r="R9" s="3">
        <v>25000000</v>
      </c>
      <c r="S9">
        <v>-861430</v>
      </c>
      <c r="T9">
        <v>87</v>
      </c>
      <c r="U9">
        <v>71</v>
      </c>
      <c r="W9">
        <v>-573374</v>
      </c>
      <c r="X9" t="s">
        <v>71</v>
      </c>
      <c r="Y9" t="s">
        <v>72</v>
      </c>
      <c r="Z9" t="s">
        <v>73</v>
      </c>
      <c r="AA9" t="s">
        <v>74</v>
      </c>
      <c r="AC9" s="3">
        <v>76740</v>
      </c>
      <c r="AD9" s="3">
        <v>595196.44079397665</v>
      </c>
      <c r="AE9" s="3">
        <v>595196.44079397665</v>
      </c>
      <c r="AF9" s="3">
        <f t="shared" si="0"/>
        <v>222160</v>
      </c>
      <c r="AG9">
        <f t="shared" si="1"/>
        <v>2.8949700286682303</v>
      </c>
      <c r="AH9">
        <f t="shared" si="2"/>
        <v>1.7109751942483631</v>
      </c>
    </row>
    <row r="10" spans="1:34" x14ac:dyDescent="0.25">
      <c r="A10" s="2">
        <v>45737</v>
      </c>
      <c r="B10" t="s">
        <v>75</v>
      </c>
      <c r="C10">
        <v>41</v>
      </c>
      <c r="D10" t="s">
        <v>44</v>
      </c>
      <c r="E10" t="s">
        <v>33</v>
      </c>
      <c r="F10" t="s">
        <v>37</v>
      </c>
      <c r="G10" t="s">
        <v>54</v>
      </c>
      <c r="H10">
        <v>43</v>
      </c>
      <c r="I10" t="s">
        <v>55</v>
      </c>
      <c r="J10" t="s">
        <v>33</v>
      </c>
      <c r="K10" t="s">
        <v>34</v>
      </c>
      <c r="L10" t="s">
        <v>38</v>
      </c>
      <c r="M10">
        <v>2.2200000000000002</v>
      </c>
      <c r="N10">
        <v>6.7</v>
      </c>
      <c r="O10">
        <v>35.700000000000003</v>
      </c>
      <c r="P10">
        <v>166.1</v>
      </c>
      <c r="Q10" s="3">
        <v>25000000</v>
      </c>
      <c r="R10" s="3">
        <v>11300000</v>
      </c>
      <c r="S10">
        <v>-624717</v>
      </c>
      <c r="T10">
        <v>91</v>
      </c>
      <c r="U10">
        <v>215</v>
      </c>
      <c r="W10">
        <v>815234</v>
      </c>
      <c r="X10" t="s">
        <v>76</v>
      </c>
      <c r="Y10" t="s">
        <v>77</v>
      </c>
      <c r="Z10" t="s">
        <v>78</v>
      </c>
      <c r="AC10" s="3">
        <v>89250</v>
      </c>
      <c r="AD10" s="3">
        <v>187373.71663244339</v>
      </c>
      <c r="AE10" s="3">
        <v>1120034.7737652729</v>
      </c>
      <c r="AF10" s="3">
        <f t="shared" si="0"/>
        <v>72664</v>
      </c>
      <c r="AG10">
        <f t="shared" si="1"/>
        <v>0.81416246498599443</v>
      </c>
      <c r="AH10">
        <f t="shared" si="2"/>
        <v>0.49016403671643249</v>
      </c>
    </row>
    <row r="11" spans="1:34" x14ac:dyDescent="0.25">
      <c r="A11" s="35">
        <v>45755</v>
      </c>
      <c r="B11" s="36" t="s">
        <v>43</v>
      </c>
      <c r="C11" s="36">
        <v>42</v>
      </c>
      <c r="D11" s="36" t="s">
        <v>79</v>
      </c>
      <c r="E11" s="36" t="s">
        <v>33</v>
      </c>
      <c r="F11" s="36" t="s">
        <v>37</v>
      </c>
      <c r="G11" s="36" t="s">
        <v>43</v>
      </c>
      <c r="H11" s="36">
        <v>42</v>
      </c>
      <c r="I11" s="36" t="s">
        <v>80</v>
      </c>
      <c r="J11" s="36" t="s">
        <v>33</v>
      </c>
      <c r="K11" s="36" t="s">
        <v>34</v>
      </c>
      <c r="L11" s="36" t="s">
        <v>38</v>
      </c>
      <c r="M11" s="36">
        <v>1.5</v>
      </c>
      <c r="N11" s="36">
        <v>188.3</v>
      </c>
      <c r="O11" s="36">
        <v>94.3</v>
      </c>
      <c r="P11" s="36">
        <v>180.1</v>
      </c>
      <c r="Q11" s="37">
        <v>7500000</v>
      </c>
      <c r="R11" s="37">
        <v>5000000</v>
      </c>
      <c r="S11" s="36">
        <v>-1171046</v>
      </c>
      <c r="T11" s="36">
        <v>346</v>
      </c>
      <c r="U11" s="36">
        <v>776</v>
      </c>
      <c r="V11" s="36"/>
      <c r="W11" s="36">
        <v>399067</v>
      </c>
      <c r="X11" s="36" t="s">
        <v>81</v>
      </c>
      <c r="Y11" s="36" t="s">
        <v>82</v>
      </c>
      <c r="Z11" s="36" t="s">
        <v>83</v>
      </c>
      <c r="AA11" t="s">
        <v>84</v>
      </c>
      <c r="AC11" s="3">
        <v>70725</v>
      </c>
      <c r="AD11" s="3">
        <v>604064.33949349751</v>
      </c>
      <c r="AE11" s="3">
        <v>604064.33949349751</v>
      </c>
      <c r="AF11" s="3">
        <f t="shared" si="0"/>
        <v>382981</v>
      </c>
      <c r="AG11">
        <f t="shared" si="1"/>
        <v>5.4150724637681158</v>
      </c>
      <c r="AH11">
        <f t="shared" si="2"/>
        <v>3.0067032003154446</v>
      </c>
    </row>
    <row r="12" spans="1:34" x14ac:dyDescent="0.25">
      <c r="A12" s="2">
        <v>45755</v>
      </c>
      <c r="B12" t="s">
        <v>43</v>
      </c>
      <c r="C12">
        <v>42</v>
      </c>
      <c r="D12" t="s">
        <v>79</v>
      </c>
      <c r="E12" t="s">
        <v>33</v>
      </c>
      <c r="F12" t="s">
        <v>37</v>
      </c>
      <c r="G12" t="s">
        <v>31</v>
      </c>
      <c r="H12">
        <v>42</v>
      </c>
      <c r="I12" t="s">
        <v>85</v>
      </c>
      <c r="J12" t="s">
        <v>33</v>
      </c>
      <c r="K12" t="s">
        <v>34</v>
      </c>
      <c r="L12" t="s">
        <v>38</v>
      </c>
      <c r="M12">
        <v>0.28000000000000003</v>
      </c>
      <c r="N12">
        <v>180.5</v>
      </c>
      <c r="O12">
        <v>135.9</v>
      </c>
      <c r="P12">
        <v>123.6</v>
      </c>
      <c r="Q12" s="3">
        <v>5600000</v>
      </c>
      <c r="R12" s="3">
        <v>20000000</v>
      </c>
      <c r="S12">
        <v>-785954</v>
      </c>
      <c r="T12">
        <v>346</v>
      </c>
      <c r="U12">
        <v>140</v>
      </c>
      <c r="W12">
        <v>-192935</v>
      </c>
      <c r="X12" t="s">
        <v>86</v>
      </c>
      <c r="Y12" t="s">
        <v>87</v>
      </c>
      <c r="Z12" t="s">
        <v>88</v>
      </c>
      <c r="AA12" t="s">
        <v>89</v>
      </c>
      <c r="AC12" s="3">
        <v>76104.000000000015</v>
      </c>
      <c r="AD12" s="3">
        <v>405404.73648186179</v>
      </c>
      <c r="AE12" s="3">
        <v>405404.73648186179</v>
      </c>
      <c r="AF12" s="3">
        <f t="shared" si="0"/>
        <v>143855</v>
      </c>
      <c r="AG12">
        <f t="shared" si="1"/>
        <v>1.8902423000105115</v>
      </c>
      <c r="AH12">
        <f t="shared" si="2"/>
        <v>1.5293222491994429</v>
      </c>
    </row>
    <row r="13" spans="1:34" x14ac:dyDescent="0.25">
      <c r="A13" s="35">
        <v>45755</v>
      </c>
      <c r="B13" s="36" t="s">
        <v>31</v>
      </c>
      <c r="C13" s="36">
        <v>42</v>
      </c>
      <c r="D13" s="36" t="s">
        <v>90</v>
      </c>
      <c r="E13" s="36" t="s">
        <v>33</v>
      </c>
      <c r="F13" s="36" t="s">
        <v>37</v>
      </c>
      <c r="G13" s="36" t="s">
        <v>31</v>
      </c>
      <c r="H13" s="36">
        <v>42</v>
      </c>
      <c r="I13" s="36" t="s">
        <v>32</v>
      </c>
      <c r="J13" s="36" t="s">
        <v>33</v>
      </c>
      <c r="K13" s="36" t="s">
        <v>34</v>
      </c>
      <c r="L13" s="36" t="s">
        <v>38</v>
      </c>
      <c r="M13" s="36">
        <v>0.74</v>
      </c>
      <c r="N13" s="36">
        <v>317.39999999999998</v>
      </c>
      <c r="O13" s="36">
        <v>235.2</v>
      </c>
      <c r="P13" s="36">
        <v>122.4</v>
      </c>
      <c r="Q13" s="37">
        <v>7400000</v>
      </c>
      <c r="R13" s="37">
        <v>10000000</v>
      </c>
      <c r="S13" s="36">
        <v>-919190</v>
      </c>
      <c r="T13" s="36">
        <v>37</v>
      </c>
      <c r="U13" s="36">
        <v>252</v>
      </c>
      <c r="V13" s="36"/>
      <c r="W13" s="36">
        <v>438418</v>
      </c>
      <c r="X13" s="36" t="s">
        <v>91</v>
      </c>
      <c r="Y13" s="36" t="s">
        <v>92</v>
      </c>
      <c r="Z13" s="36" t="s">
        <v>93</v>
      </c>
      <c r="AA13" t="s">
        <v>94</v>
      </c>
      <c r="AC13" s="3">
        <v>174048</v>
      </c>
      <c r="AD13" s="3">
        <v>1055913.8672142371</v>
      </c>
      <c r="AE13" s="3">
        <v>1055913.8672142371</v>
      </c>
      <c r="AF13" s="3">
        <f t="shared" si="0"/>
        <v>502517</v>
      </c>
      <c r="AG13">
        <f t="shared" si="1"/>
        <v>2.8872322577679719</v>
      </c>
      <c r="AH13">
        <f t="shared" si="2"/>
        <v>2.3588498837973626</v>
      </c>
    </row>
    <row r="14" spans="1:34" x14ac:dyDescent="0.25">
      <c r="A14" s="35">
        <v>45761</v>
      </c>
      <c r="B14" s="36" t="s">
        <v>43</v>
      </c>
      <c r="C14" s="36">
        <v>42</v>
      </c>
      <c r="D14" s="36" t="s">
        <v>36</v>
      </c>
      <c r="E14" s="36" t="s">
        <v>33</v>
      </c>
      <c r="F14" s="36" t="s">
        <v>37</v>
      </c>
      <c r="G14" s="36" t="s">
        <v>35</v>
      </c>
      <c r="H14" s="36">
        <v>44</v>
      </c>
      <c r="I14" s="36" t="s">
        <v>44</v>
      </c>
      <c r="J14" s="36" t="s">
        <v>33</v>
      </c>
      <c r="K14" s="36" t="s">
        <v>34</v>
      </c>
      <c r="L14" s="36" t="s">
        <v>38</v>
      </c>
      <c r="M14" s="36">
        <v>0.69</v>
      </c>
      <c r="N14" s="36">
        <v>427.6</v>
      </c>
      <c r="O14" s="36">
        <v>26.3</v>
      </c>
      <c r="P14" s="36">
        <v>327.5</v>
      </c>
      <c r="Q14" s="37">
        <v>34700000</v>
      </c>
      <c r="R14" s="37">
        <v>50000000</v>
      </c>
      <c r="S14" s="36">
        <v>-4511826</v>
      </c>
      <c r="T14" s="36">
        <v>115</v>
      </c>
      <c r="U14" s="36">
        <v>420</v>
      </c>
      <c r="V14" s="36"/>
      <c r="W14" s="36">
        <v>-1347396</v>
      </c>
      <c r="X14" s="36" t="s">
        <v>95</v>
      </c>
      <c r="Y14" s="36" t="s">
        <v>96</v>
      </c>
      <c r="Z14" s="36" t="s">
        <v>97</v>
      </c>
      <c r="AA14" t="s">
        <v>98</v>
      </c>
      <c r="AC14" s="3">
        <v>91261</v>
      </c>
      <c r="AD14" s="3">
        <v>9014443.3949349746</v>
      </c>
      <c r="AE14" s="3">
        <v>5766080.61821739</v>
      </c>
      <c r="AF14" s="3">
        <f t="shared" si="0"/>
        <v>2489848</v>
      </c>
      <c r="AG14">
        <f t="shared" si="1"/>
        <v>27.282716604025815</v>
      </c>
      <c r="AH14">
        <f t="shared" si="2"/>
        <v>8.3306004897788757</v>
      </c>
    </row>
    <row r="15" spans="1:34" x14ac:dyDescent="0.25">
      <c r="A15" s="35">
        <v>45761</v>
      </c>
      <c r="B15" s="36" t="s">
        <v>54</v>
      </c>
      <c r="C15" s="36">
        <v>43</v>
      </c>
      <c r="D15" s="36" t="s">
        <v>55</v>
      </c>
      <c r="E15" s="36" t="s">
        <v>33</v>
      </c>
      <c r="F15" s="36" t="s">
        <v>34</v>
      </c>
      <c r="G15" s="36" t="s">
        <v>31</v>
      </c>
      <c r="H15" s="36">
        <v>42</v>
      </c>
      <c r="I15" s="36" t="s">
        <v>90</v>
      </c>
      <c r="J15" s="36" t="s">
        <v>33</v>
      </c>
      <c r="K15" s="36" t="s">
        <v>37</v>
      </c>
      <c r="L15" s="36" t="s">
        <v>38</v>
      </c>
      <c r="M15" s="36">
        <v>0.28999999999999998</v>
      </c>
      <c r="N15" s="36">
        <v>110.1</v>
      </c>
      <c r="O15" s="36">
        <v>52.7</v>
      </c>
      <c r="P15" s="36">
        <v>288.60000000000002</v>
      </c>
      <c r="Q15" s="37">
        <v>15000000</v>
      </c>
      <c r="R15" s="37">
        <v>51100000</v>
      </c>
      <c r="S15" s="36">
        <v>-2451950</v>
      </c>
      <c r="T15" s="36">
        <v>262</v>
      </c>
      <c r="U15" s="36">
        <v>35</v>
      </c>
      <c r="V15" s="36"/>
      <c r="W15" s="36">
        <v>-199283</v>
      </c>
      <c r="X15" s="36" t="s">
        <v>99</v>
      </c>
      <c r="Y15" s="36" t="s">
        <v>100</v>
      </c>
      <c r="Z15" s="36" t="s">
        <v>101</v>
      </c>
      <c r="AA15" t="s">
        <v>102</v>
      </c>
      <c r="AC15" s="3">
        <v>79050</v>
      </c>
      <c r="AD15" s="3">
        <v>1003177.6865160851</v>
      </c>
      <c r="AE15" s="3">
        <v>1003177.6865160851</v>
      </c>
      <c r="AF15" s="3">
        <f t="shared" si="0"/>
        <v>509952</v>
      </c>
      <c r="AG15">
        <f t="shared" si="1"/>
        <v>6.4510056925996206</v>
      </c>
      <c r="AH15">
        <f t="shared" si="2"/>
        <v>2.2352757077614762</v>
      </c>
    </row>
    <row r="16" spans="1:34" x14ac:dyDescent="0.25">
      <c r="A16" s="2">
        <v>45761</v>
      </c>
      <c r="B16" t="s">
        <v>35</v>
      </c>
      <c r="C16">
        <v>44</v>
      </c>
      <c r="D16" t="s">
        <v>44</v>
      </c>
      <c r="E16" t="s">
        <v>33</v>
      </c>
      <c r="F16" t="s">
        <v>34</v>
      </c>
      <c r="G16" t="s">
        <v>31</v>
      </c>
      <c r="H16">
        <v>42</v>
      </c>
      <c r="I16" t="s">
        <v>90</v>
      </c>
      <c r="J16" t="s">
        <v>33</v>
      </c>
      <c r="K16" t="s">
        <v>37</v>
      </c>
      <c r="L16" t="s">
        <v>38</v>
      </c>
      <c r="M16">
        <v>0.45</v>
      </c>
      <c r="N16">
        <v>292</v>
      </c>
      <c r="O16">
        <v>22</v>
      </c>
      <c r="P16">
        <v>273.39999999999998</v>
      </c>
      <c r="Q16" s="3">
        <v>50000000</v>
      </c>
      <c r="R16" s="3">
        <v>110000000</v>
      </c>
      <c r="S16">
        <v>-1685646</v>
      </c>
      <c r="T16">
        <v>420</v>
      </c>
      <c r="U16">
        <v>35</v>
      </c>
      <c r="W16">
        <v>1466086</v>
      </c>
      <c r="X16" t="s">
        <v>103</v>
      </c>
      <c r="Y16" t="s">
        <v>104</v>
      </c>
      <c r="Z16" t="s">
        <v>105</v>
      </c>
      <c r="AA16" t="s">
        <v>106</v>
      </c>
      <c r="AC16" s="3">
        <v>110000</v>
      </c>
      <c r="AD16" s="3">
        <v>9080260.0958247762</v>
      </c>
      <c r="AE16" s="3">
        <v>5831897.3191071916</v>
      </c>
      <c r="AF16" s="3">
        <f t="shared" si="0"/>
        <v>2367116</v>
      </c>
      <c r="AG16">
        <f t="shared" si="1"/>
        <v>21.519236363636363</v>
      </c>
      <c r="AH16">
        <f t="shared" si="2"/>
        <v>7.870971603378333</v>
      </c>
    </row>
    <row r="17" spans="1:34" x14ac:dyDescent="0.25">
      <c r="A17" s="2">
        <v>45799</v>
      </c>
      <c r="B17" t="s">
        <v>54</v>
      </c>
      <c r="C17">
        <v>43</v>
      </c>
      <c r="D17" t="s">
        <v>63</v>
      </c>
      <c r="E17" t="s">
        <v>33</v>
      </c>
      <c r="F17" t="s">
        <v>34</v>
      </c>
      <c r="G17" t="s">
        <v>43</v>
      </c>
      <c r="H17">
        <v>42</v>
      </c>
      <c r="I17" t="s">
        <v>36</v>
      </c>
      <c r="J17" t="s">
        <v>33</v>
      </c>
      <c r="K17" t="s">
        <v>37</v>
      </c>
      <c r="L17" t="s">
        <v>38</v>
      </c>
      <c r="M17">
        <v>1.43</v>
      </c>
      <c r="N17">
        <v>2.7</v>
      </c>
      <c r="O17">
        <v>22.8</v>
      </c>
      <c r="P17">
        <v>356.3</v>
      </c>
      <c r="Q17" s="3">
        <v>25000000</v>
      </c>
      <c r="R17" s="3">
        <v>17500000</v>
      </c>
      <c r="S17">
        <v>-2876622</v>
      </c>
      <c r="T17">
        <v>68</v>
      </c>
      <c r="U17">
        <v>82</v>
      </c>
      <c r="W17">
        <v>-2551769</v>
      </c>
      <c r="X17" t="s">
        <v>107</v>
      </c>
      <c r="Y17" t="s">
        <v>108</v>
      </c>
      <c r="Z17" t="s">
        <v>109</v>
      </c>
      <c r="AA17" t="s">
        <v>110</v>
      </c>
      <c r="AC17" s="3">
        <v>57000</v>
      </c>
      <c r="AD17" s="3">
        <v>121381.2457221082</v>
      </c>
      <c r="AE17" s="3">
        <v>121381.2457221082</v>
      </c>
      <c r="AF17" s="3">
        <f t="shared" si="0"/>
        <v>63052</v>
      </c>
      <c r="AG17">
        <f t="shared" si="1"/>
        <v>1.1061754385964913</v>
      </c>
      <c r="AH17">
        <f t="shared" si="2"/>
        <v>0.31046181268495404</v>
      </c>
    </row>
    <row r="18" spans="1:34" x14ac:dyDescent="0.25">
      <c r="A18" s="2">
        <v>45799</v>
      </c>
      <c r="B18" t="s">
        <v>54</v>
      </c>
      <c r="C18">
        <v>43</v>
      </c>
      <c r="D18" t="s">
        <v>55</v>
      </c>
      <c r="E18" t="s">
        <v>33</v>
      </c>
      <c r="F18" t="s">
        <v>34</v>
      </c>
      <c r="G18" t="s">
        <v>43</v>
      </c>
      <c r="H18">
        <v>42</v>
      </c>
      <c r="I18" t="s">
        <v>79</v>
      </c>
      <c r="J18" t="s">
        <v>33</v>
      </c>
      <c r="K18" t="s">
        <v>37</v>
      </c>
      <c r="L18" t="s">
        <v>38</v>
      </c>
      <c r="M18">
        <v>1.47</v>
      </c>
      <c r="N18">
        <v>31.3</v>
      </c>
      <c r="O18">
        <v>38.6</v>
      </c>
      <c r="P18">
        <v>219.7</v>
      </c>
      <c r="Q18" s="3">
        <v>14700000</v>
      </c>
      <c r="R18" s="3">
        <v>10000000</v>
      </c>
      <c r="S18">
        <v>-1798536</v>
      </c>
      <c r="T18">
        <v>205</v>
      </c>
      <c r="U18">
        <v>222</v>
      </c>
      <c r="W18">
        <v>83903</v>
      </c>
      <c r="X18" t="s">
        <v>111</v>
      </c>
      <c r="Y18" t="s">
        <v>112</v>
      </c>
      <c r="Z18" t="s">
        <v>113</v>
      </c>
      <c r="AA18" t="s">
        <v>114</v>
      </c>
      <c r="AC18" s="3">
        <v>56742</v>
      </c>
      <c r="AD18" s="3">
        <v>363456.67351129348</v>
      </c>
      <c r="AE18" s="3">
        <v>363456.67351129348</v>
      </c>
      <c r="AF18" s="3">
        <f t="shared" si="0"/>
        <v>117021</v>
      </c>
      <c r="AG18">
        <f t="shared" si="1"/>
        <v>2.0623347784709738</v>
      </c>
      <c r="AH18">
        <f t="shared" si="2"/>
        <v>0.93870495151159483</v>
      </c>
    </row>
    <row r="19" spans="1:34" x14ac:dyDescent="0.25">
      <c r="A19" s="2">
        <v>45799</v>
      </c>
      <c r="B19" t="s">
        <v>35</v>
      </c>
      <c r="C19">
        <v>43</v>
      </c>
      <c r="D19" t="s">
        <v>49</v>
      </c>
      <c r="E19" t="s">
        <v>33</v>
      </c>
      <c r="F19" t="s">
        <v>34</v>
      </c>
      <c r="G19" t="s">
        <v>43</v>
      </c>
      <c r="H19">
        <v>42</v>
      </c>
      <c r="I19" t="s">
        <v>79</v>
      </c>
      <c r="J19" t="s">
        <v>33</v>
      </c>
      <c r="K19" t="s">
        <v>37</v>
      </c>
      <c r="L19" t="s">
        <v>38</v>
      </c>
      <c r="M19">
        <v>0.63</v>
      </c>
      <c r="N19">
        <v>7.4</v>
      </c>
      <c r="O19">
        <v>155.5</v>
      </c>
      <c r="P19">
        <v>215.2</v>
      </c>
      <c r="Q19" s="3">
        <v>5000000</v>
      </c>
      <c r="R19" s="3">
        <v>7900000</v>
      </c>
      <c r="S19">
        <v>-800179</v>
      </c>
      <c r="T19">
        <v>405</v>
      </c>
      <c r="U19">
        <v>222</v>
      </c>
      <c r="W19">
        <v>-132360</v>
      </c>
      <c r="X19" t="s">
        <v>115</v>
      </c>
      <c r="Y19" t="s">
        <v>116</v>
      </c>
      <c r="Z19" t="s">
        <v>117</v>
      </c>
      <c r="AC19" s="3">
        <v>77750</v>
      </c>
      <c r="AD19" s="3">
        <v>124221.1088295688</v>
      </c>
      <c r="AE19" s="3">
        <v>124221.1088295688</v>
      </c>
      <c r="AF19" s="3">
        <f t="shared" si="0"/>
        <v>39763</v>
      </c>
      <c r="AG19">
        <f t="shared" si="1"/>
        <v>0.51142122186495176</v>
      </c>
      <c r="AH19">
        <f t="shared" si="2"/>
        <v>0.2376492666658698</v>
      </c>
    </row>
    <row r="20" spans="1:34" x14ac:dyDescent="0.25">
      <c r="A20" s="35">
        <v>45827</v>
      </c>
      <c r="B20" s="36" t="s">
        <v>35</v>
      </c>
      <c r="C20" s="36">
        <v>43</v>
      </c>
      <c r="D20" s="36" t="s">
        <v>44</v>
      </c>
      <c r="E20" s="36" t="s">
        <v>33</v>
      </c>
      <c r="F20" s="36" t="s">
        <v>34</v>
      </c>
      <c r="G20" s="36" t="s">
        <v>43</v>
      </c>
      <c r="H20" s="36">
        <v>42</v>
      </c>
      <c r="I20" s="36" t="s">
        <v>36</v>
      </c>
      <c r="J20" s="36" t="s">
        <v>33</v>
      </c>
      <c r="K20" s="36" t="s">
        <v>37</v>
      </c>
      <c r="L20" s="36" t="s">
        <v>38</v>
      </c>
      <c r="M20" s="36">
        <v>0.55000000000000004</v>
      </c>
      <c r="N20" s="36">
        <v>139.5</v>
      </c>
      <c r="O20" s="36">
        <v>48.1</v>
      </c>
      <c r="P20" s="36">
        <v>42.3</v>
      </c>
      <c r="Q20" s="37">
        <v>19400000</v>
      </c>
      <c r="R20" s="37">
        <v>35000000</v>
      </c>
      <c r="S20" s="36">
        <v>-5131661</v>
      </c>
      <c r="T20" s="36">
        <v>335</v>
      </c>
      <c r="U20" s="36">
        <v>84</v>
      </c>
      <c r="V20" s="36"/>
      <c r="W20" s="36">
        <v>-3910430</v>
      </c>
      <c r="X20" s="36" t="s">
        <v>118</v>
      </c>
      <c r="Y20" s="36" t="s">
        <v>119</v>
      </c>
      <c r="Z20" s="36" t="s">
        <v>120</v>
      </c>
      <c r="AA20" t="s">
        <v>121</v>
      </c>
      <c r="AC20" s="3">
        <v>93314</v>
      </c>
      <c r="AD20" s="3">
        <v>1602889.801505818</v>
      </c>
      <c r="AE20" s="3">
        <v>415286.64468993357</v>
      </c>
      <c r="AF20" s="3">
        <f t="shared" si="0"/>
        <v>210281</v>
      </c>
      <c r="AG20">
        <f t="shared" si="1"/>
        <v>2.2534775060548258</v>
      </c>
      <c r="AH20">
        <f t="shared" si="2"/>
        <v>5.3273699906733469</v>
      </c>
    </row>
    <row r="21" spans="1:34" x14ac:dyDescent="0.25">
      <c r="A21" s="35">
        <v>45827</v>
      </c>
      <c r="B21" s="36" t="s">
        <v>35</v>
      </c>
      <c r="C21" s="36">
        <v>43</v>
      </c>
      <c r="D21" s="36" t="s">
        <v>44</v>
      </c>
      <c r="E21" s="36" t="s">
        <v>33</v>
      </c>
      <c r="F21" s="36" t="s">
        <v>34</v>
      </c>
      <c r="G21" s="36" t="s">
        <v>35</v>
      </c>
      <c r="H21" s="36">
        <v>41</v>
      </c>
      <c r="I21" s="36" t="s">
        <v>36</v>
      </c>
      <c r="J21" s="36" t="s">
        <v>33</v>
      </c>
      <c r="K21" s="36" t="s">
        <v>37</v>
      </c>
      <c r="L21" s="36" t="s">
        <v>38</v>
      </c>
      <c r="M21" s="36">
        <v>0.37</v>
      </c>
      <c r="N21" s="36">
        <v>211.4</v>
      </c>
      <c r="O21" s="36">
        <v>121.4</v>
      </c>
      <c r="P21" s="36">
        <v>39.4</v>
      </c>
      <c r="Q21" s="37">
        <v>5500000</v>
      </c>
      <c r="R21" s="37">
        <v>15000000</v>
      </c>
      <c r="S21" s="36">
        <v>-1638701</v>
      </c>
      <c r="T21" s="36">
        <v>335</v>
      </c>
      <c r="U21" s="36">
        <v>33</v>
      </c>
      <c r="V21" s="36"/>
      <c r="W21" s="36">
        <v>-1292476</v>
      </c>
      <c r="X21" s="36" t="s">
        <v>122</v>
      </c>
      <c r="Y21" s="36" t="s">
        <v>123</v>
      </c>
      <c r="Z21" s="36" t="s">
        <v>124</v>
      </c>
      <c r="AA21" t="s">
        <v>125</v>
      </c>
      <c r="AC21" s="3">
        <v>66770</v>
      </c>
      <c r="AD21" s="3">
        <v>656348.39151266264</v>
      </c>
      <c r="AE21" s="3">
        <v>319656.77488960262</v>
      </c>
      <c r="AF21" s="3">
        <f t="shared" si="0"/>
        <v>114563</v>
      </c>
      <c r="AG21">
        <f t="shared" si="1"/>
        <v>1.7157855324247417</v>
      </c>
      <c r="AH21">
        <f t="shared" si="2"/>
        <v>4.354785615291223</v>
      </c>
    </row>
    <row r="22" spans="1:34" x14ac:dyDescent="0.25">
      <c r="A22" s="2">
        <v>45827</v>
      </c>
      <c r="B22" t="s">
        <v>35</v>
      </c>
      <c r="C22">
        <v>43</v>
      </c>
      <c r="D22" t="s">
        <v>44</v>
      </c>
      <c r="E22" t="s">
        <v>33</v>
      </c>
      <c r="F22" t="s">
        <v>34</v>
      </c>
      <c r="G22" t="s">
        <v>43</v>
      </c>
      <c r="H22">
        <v>42</v>
      </c>
      <c r="I22" t="s">
        <v>79</v>
      </c>
      <c r="J22" t="s">
        <v>33</v>
      </c>
      <c r="K22" t="s">
        <v>37</v>
      </c>
      <c r="L22" t="s">
        <v>38</v>
      </c>
      <c r="M22">
        <v>1.5</v>
      </c>
      <c r="N22">
        <v>139.19999999999999</v>
      </c>
      <c r="O22">
        <v>63.2</v>
      </c>
      <c r="P22">
        <v>32.700000000000003</v>
      </c>
      <c r="Q22" s="3">
        <v>15000000</v>
      </c>
      <c r="R22" s="3">
        <v>10000000</v>
      </c>
      <c r="S22">
        <v>-304114</v>
      </c>
      <c r="T22">
        <v>335</v>
      </c>
      <c r="U22">
        <v>230</v>
      </c>
      <c r="W22">
        <v>640136</v>
      </c>
      <c r="X22" t="s">
        <v>126</v>
      </c>
      <c r="Y22" t="s">
        <v>127</v>
      </c>
      <c r="Z22" t="s">
        <v>128</v>
      </c>
      <c r="AC22" s="3">
        <v>94800</v>
      </c>
      <c r="AD22" s="3">
        <v>1227275.838466804</v>
      </c>
      <c r="AE22" s="3">
        <v>309025.97494936752</v>
      </c>
      <c r="AF22" s="3">
        <f t="shared" si="0"/>
        <v>27513</v>
      </c>
      <c r="AG22">
        <f t="shared" si="1"/>
        <v>0.29022151898734178</v>
      </c>
      <c r="AH22">
        <f t="shared" si="2"/>
        <v>0.88752758100104512</v>
      </c>
    </row>
    <row r="23" spans="1:34" x14ac:dyDescent="0.25">
      <c r="A23" s="35">
        <v>45870</v>
      </c>
      <c r="B23" s="36" t="s">
        <v>31</v>
      </c>
      <c r="C23" s="36">
        <v>42</v>
      </c>
      <c r="D23" s="36" t="s">
        <v>44</v>
      </c>
      <c r="E23" s="36" t="s">
        <v>33</v>
      </c>
      <c r="F23" s="36" t="s">
        <v>37</v>
      </c>
      <c r="G23" s="36" t="s">
        <v>35</v>
      </c>
      <c r="H23" s="36">
        <v>43</v>
      </c>
      <c r="I23" s="36" t="s">
        <v>44</v>
      </c>
      <c r="J23" s="36" t="s">
        <v>33</v>
      </c>
      <c r="K23" s="36" t="s">
        <v>34</v>
      </c>
      <c r="L23" s="36" t="s">
        <v>38</v>
      </c>
      <c r="M23" s="36">
        <v>5.3</v>
      </c>
      <c r="N23" s="36">
        <v>2</v>
      </c>
      <c r="O23" s="36">
        <v>16.100000000000001</v>
      </c>
      <c r="P23" s="36">
        <v>203</v>
      </c>
      <c r="Q23" s="37">
        <v>212100000</v>
      </c>
      <c r="R23" s="37">
        <v>40000000</v>
      </c>
      <c r="S23" s="36">
        <v>-1786498</v>
      </c>
      <c r="T23" s="36">
        <v>52</v>
      </c>
      <c r="U23" s="36">
        <v>326</v>
      </c>
      <c r="V23" s="36"/>
      <c r="W23" s="36">
        <v>905046</v>
      </c>
      <c r="X23" s="36" t="s">
        <v>129</v>
      </c>
      <c r="Y23" s="36" t="s">
        <v>130</v>
      </c>
      <c r="Z23" s="36" t="s">
        <v>131</v>
      </c>
      <c r="AC23" s="3">
        <v>341481</v>
      </c>
      <c r="AD23" s="3">
        <v>881944.31211498845</v>
      </c>
      <c r="AE23" s="3">
        <v>1349308.210154312</v>
      </c>
      <c r="AF23" s="3">
        <f t="shared" si="0"/>
        <v>143205</v>
      </c>
      <c r="AG23">
        <f t="shared" si="1"/>
        <v>0.41936447415815226</v>
      </c>
      <c r="AH23">
        <f t="shared" si="2"/>
        <v>0.20658348480697158</v>
      </c>
    </row>
    <row r="24" spans="1:34" x14ac:dyDescent="0.25">
      <c r="A24" s="35">
        <v>45870</v>
      </c>
      <c r="B24" s="36" t="s">
        <v>35</v>
      </c>
      <c r="C24" s="36">
        <v>41</v>
      </c>
      <c r="D24" s="36" t="s">
        <v>36</v>
      </c>
      <c r="E24" s="36" t="s">
        <v>33</v>
      </c>
      <c r="F24" s="36" t="s">
        <v>37</v>
      </c>
      <c r="G24" s="36" t="s">
        <v>54</v>
      </c>
      <c r="H24" s="36">
        <v>43</v>
      </c>
      <c r="I24" s="36" t="s">
        <v>63</v>
      </c>
      <c r="J24" s="36" t="s">
        <v>33</v>
      </c>
      <c r="K24" s="36" t="s">
        <v>34</v>
      </c>
      <c r="L24" s="36" t="s">
        <v>38</v>
      </c>
      <c r="M24" s="36">
        <v>0.83</v>
      </c>
      <c r="N24" s="36">
        <v>49.3</v>
      </c>
      <c r="O24" s="36">
        <v>34.6</v>
      </c>
      <c r="P24" s="36">
        <v>166.4</v>
      </c>
      <c r="Q24" s="37">
        <v>15000000</v>
      </c>
      <c r="R24" s="37">
        <v>18200000</v>
      </c>
      <c r="S24" s="36">
        <v>-1612015</v>
      </c>
      <c r="T24" s="36">
        <v>25</v>
      </c>
      <c r="U24" s="36">
        <v>61</v>
      </c>
      <c r="V24" s="36"/>
      <c r="W24" s="36">
        <v>-1341091</v>
      </c>
      <c r="X24" s="36" t="s">
        <v>132</v>
      </c>
      <c r="Y24" s="36" t="s">
        <v>133</v>
      </c>
      <c r="Z24" s="36" t="s">
        <v>134</v>
      </c>
      <c r="AA24" t="s">
        <v>135</v>
      </c>
      <c r="AC24" s="3">
        <v>51900</v>
      </c>
      <c r="AD24" s="3">
        <v>359935.77002053388</v>
      </c>
      <c r="AE24" s="3">
        <v>359935.77002053388</v>
      </c>
      <c r="AF24" s="3">
        <f t="shared" si="0"/>
        <v>112473</v>
      </c>
      <c r="AG24">
        <f t="shared" si="1"/>
        <v>2.1671098265895954</v>
      </c>
      <c r="AH24">
        <f t="shared" si="2"/>
        <v>1.302349655402401</v>
      </c>
    </row>
    <row r="25" spans="1:34" x14ac:dyDescent="0.25">
      <c r="A25" s="35">
        <v>45870</v>
      </c>
      <c r="B25" s="36" t="s">
        <v>35</v>
      </c>
      <c r="C25" s="36">
        <v>43</v>
      </c>
      <c r="D25" s="36" t="s">
        <v>44</v>
      </c>
      <c r="E25" s="36" t="s">
        <v>33</v>
      </c>
      <c r="F25" s="36" t="s">
        <v>34</v>
      </c>
      <c r="G25" s="36" t="s">
        <v>35</v>
      </c>
      <c r="H25" s="36">
        <v>41</v>
      </c>
      <c r="I25" s="36" t="s">
        <v>36</v>
      </c>
      <c r="J25" s="36" t="s">
        <v>33</v>
      </c>
      <c r="K25" s="36" t="s">
        <v>37</v>
      </c>
      <c r="L25" s="36" t="s">
        <v>38</v>
      </c>
      <c r="M25" s="36">
        <v>0.37</v>
      </c>
      <c r="N25" s="36">
        <v>222.8</v>
      </c>
      <c r="O25" s="36">
        <v>145.69999999999999</v>
      </c>
      <c r="P25" s="36">
        <v>33.4</v>
      </c>
      <c r="Q25" s="37">
        <v>5600000</v>
      </c>
      <c r="R25" s="37">
        <v>15000000</v>
      </c>
      <c r="S25" s="36">
        <v>-1510218</v>
      </c>
      <c r="T25" s="36">
        <v>326</v>
      </c>
      <c r="U25" s="36">
        <v>25</v>
      </c>
      <c r="V25" s="36"/>
      <c r="W25" s="36">
        <v>-1130722</v>
      </c>
      <c r="X25" s="36" t="s">
        <v>136</v>
      </c>
      <c r="Y25" s="36" t="s">
        <v>137</v>
      </c>
      <c r="Z25" s="36" t="s">
        <v>138</v>
      </c>
      <c r="AA25" t="s">
        <v>139</v>
      </c>
      <c r="AC25" s="3">
        <v>81592</v>
      </c>
      <c r="AD25" s="3">
        <v>673712.85420944542</v>
      </c>
      <c r="AE25" s="3">
        <v>334802.1609080261</v>
      </c>
      <c r="AF25" s="3">
        <f t="shared" si="0"/>
        <v>117172</v>
      </c>
      <c r="AG25">
        <f t="shared" si="1"/>
        <v>1.436072163937641</v>
      </c>
      <c r="AH25">
        <f t="shared" si="2"/>
        <v>4.2996172572983271</v>
      </c>
    </row>
    <row r="26" spans="1:34" x14ac:dyDescent="0.25">
      <c r="A26" s="2">
        <v>45901</v>
      </c>
      <c r="B26" t="s">
        <v>43</v>
      </c>
      <c r="C26">
        <v>43</v>
      </c>
      <c r="D26" t="s">
        <v>44</v>
      </c>
      <c r="E26" t="s">
        <v>33</v>
      </c>
      <c r="F26" t="s">
        <v>37</v>
      </c>
      <c r="G26" t="s">
        <v>35</v>
      </c>
      <c r="H26">
        <v>44</v>
      </c>
      <c r="I26" t="s">
        <v>44</v>
      </c>
      <c r="J26" t="s">
        <v>33</v>
      </c>
      <c r="K26" t="s">
        <v>34</v>
      </c>
      <c r="L26" t="s">
        <v>38</v>
      </c>
      <c r="M26">
        <v>0.98</v>
      </c>
      <c r="N26">
        <v>18.3</v>
      </c>
      <c r="O26">
        <v>44</v>
      </c>
      <c r="P26">
        <v>362.7</v>
      </c>
      <c r="Q26" s="3">
        <v>49200000</v>
      </c>
      <c r="R26" s="3">
        <v>50000000</v>
      </c>
      <c r="S26">
        <v>-1855370</v>
      </c>
      <c r="T26">
        <v>269</v>
      </c>
      <c r="U26">
        <v>325</v>
      </c>
      <c r="W26">
        <v>2517701</v>
      </c>
      <c r="X26" t="s">
        <v>140</v>
      </c>
      <c r="Y26" t="s">
        <v>141</v>
      </c>
      <c r="Z26" t="s">
        <v>142</v>
      </c>
      <c r="AC26" s="3">
        <v>216480</v>
      </c>
      <c r="AD26" s="3">
        <v>1447130.8966461329</v>
      </c>
      <c r="AE26" s="3">
        <v>2428430.936295717</v>
      </c>
      <c r="AF26" s="3">
        <f t="shared" si="0"/>
        <v>-14724</v>
      </c>
      <c r="AG26">
        <f t="shared" si="1"/>
        <v>-6.8015521064301546E-2</v>
      </c>
      <c r="AH26">
        <f t="shared" si="2"/>
        <v>-1.8752556124704039E-2</v>
      </c>
    </row>
    <row r="27" spans="1:34" x14ac:dyDescent="0.25">
      <c r="A27" s="35">
        <v>45901</v>
      </c>
      <c r="B27" s="36" t="s">
        <v>43</v>
      </c>
      <c r="C27" s="36">
        <v>43</v>
      </c>
      <c r="D27" s="36" t="s">
        <v>44</v>
      </c>
      <c r="E27" s="36" t="s">
        <v>33</v>
      </c>
      <c r="F27" s="36" t="s">
        <v>37</v>
      </c>
      <c r="G27" s="36" t="s">
        <v>35</v>
      </c>
      <c r="H27" s="36">
        <v>43</v>
      </c>
      <c r="I27" s="36" t="s">
        <v>44</v>
      </c>
      <c r="J27" s="36" t="s">
        <v>33</v>
      </c>
      <c r="K27" s="36" t="s">
        <v>34</v>
      </c>
      <c r="L27" s="36" t="s">
        <v>38</v>
      </c>
      <c r="M27" s="36">
        <v>0.99</v>
      </c>
      <c r="N27" s="36">
        <v>8.6999999999999993</v>
      </c>
      <c r="O27" s="36">
        <v>60.4</v>
      </c>
      <c r="P27" s="36">
        <v>236.5</v>
      </c>
      <c r="Q27" s="37">
        <v>39500000</v>
      </c>
      <c r="R27" s="37">
        <v>40000000</v>
      </c>
      <c r="S27" s="36">
        <v>-1616787</v>
      </c>
      <c r="T27" s="36">
        <v>269</v>
      </c>
      <c r="U27" s="36">
        <v>314</v>
      </c>
      <c r="V27" s="36"/>
      <c r="W27" s="36">
        <v>1235997</v>
      </c>
      <c r="X27" s="36" t="s">
        <v>143</v>
      </c>
      <c r="Y27" s="36" t="s">
        <v>144</v>
      </c>
      <c r="Z27" s="36" t="s">
        <v>145</v>
      </c>
      <c r="AC27" s="3">
        <v>238580</v>
      </c>
      <c r="AD27" s="3">
        <v>302603.28542094398</v>
      </c>
      <c r="AE27" s="3">
        <v>1215220.1302461941</v>
      </c>
      <c r="AF27" s="3">
        <f t="shared" si="0"/>
        <v>128919</v>
      </c>
      <c r="AG27">
        <f t="shared" si="1"/>
        <v>0.54035962779780367</v>
      </c>
      <c r="AH27">
        <f t="shared" si="2"/>
        <v>0.22848187221894445</v>
      </c>
    </row>
    <row r="28" spans="1:34" x14ac:dyDescent="0.25">
      <c r="A28" s="35">
        <v>45901</v>
      </c>
      <c r="B28" s="36" t="s">
        <v>35</v>
      </c>
      <c r="C28" s="36">
        <v>43</v>
      </c>
      <c r="D28" s="36" t="s">
        <v>44</v>
      </c>
      <c r="E28" s="36" t="s">
        <v>33</v>
      </c>
      <c r="F28" s="36" t="s">
        <v>34</v>
      </c>
      <c r="G28" s="36" t="s">
        <v>35</v>
      </c>
      <c r="H28" s="36">
        <v>42</v>
      </c>
      <c r="I28" s="36" t="s">
        <v>44</v>
      </c>
      <c r="J28" s="36" t="s">
        <v>33</v>
      </c>
      <c r="K28" s="36" t="s">
        <v>37</v>
      </c>
      <c r="L28" s="36" t="s">
        <v>38</v>
      </c>
      <c r="M28" s="36">
        <v>1.02</v>
      </c>
      <c r="N28" s="36">
        <v>38</v>
      </c>
      <c r="O28" s="36">
        <v>26.8</v>
      </c>
      <c r="P28" s="36">
        <v>74.3</v>
      </c>
      <c r="Q28" s="37">
        <v>25600000</v>
      </c>
      <c r="R28" s="37">
        <v>25000000</v>
      </c>
      <c r="S28" s="36">
        <v>-105344</v>
      </c>
      <c r="T28" s="36">
        <v>314</v>
      </c>
      <c r="U28" s="36">
        <v>276</v>
      </c>
      <c r="V28" s="36"/>
      <c r="W28" s="36">
        <v>1720438</v>
      </c>
      <c r="X28" s="36" t="s">
        <v>146</v>
      </c>
      <c r="Y28" s="36" t="s">
        <v>147</v>
      </c>
      <c r="Z28" s="36" t="s">
        <v>148</v>
      </c>
      <c r="AA28" t="s">
        <v>149</v>
      </c>
      <c r="AC28" s="3">
        <v>68608</v>
      </c>
      <c r="AD28" s="3">
        <v>835352.88158795284</v>
      </c>
      <c r="AE28" s="3">
        <v>719473.68107772153</v>
      </c>
      <c r="AF28" s="3">
        <f t="shared" si="0"/>
        <v>118391</v>
      </c>
      <c r="AG28">
        <f t="shared" si="1"/>
        <v>1.725615088619403</v>
      </c>
      <c r="AH28">
        <f t="shared" si="2"/>
        <v>2.3224967545348627</v>
      </c>
    </row>
    <row r="29" spans="1:34" x14ac:dyDescent="0.25">
      <c r="A29" s="2">
        <v>45925</v>
      </c>
      <c r="B29" t="s">
        <v>35</v>
      </c>
      <c r="C29">
        <v>43</v>
      </c>
      <c r="D29" t="s">
        <v>44</v>
      </c>
      <c r="E29" t="s">
        <v>33</v>
      </c>
      <c r="F29" t="s">
        <v>34</v>
      </c>
      <c r="G29" t="s">
        <v>35</v>
      </c>
      <c r="H29">
        <v>43</v>
      </c>
      <c r="I29" t="s">
        <v>36</v>
      </c>
      <c r="J29" t="s">
        <v>33</v>
      </c>
      <c r="K29" t="s">
        <v>37</v>
      </c>
      <c r="L29" t="s">
        <v>38</v>
      </c>
      <c r="M29">
        <v>0.34</v>
      </c>
      <c r="N29">
        <v>127.2</v>
      </c>
      <c r="O29">
        <v>43.8</v>
      </c>
      <c r="P29">
        <v>30.6</v>
      </c>
      <c r="Q29" s="3">
        <v>11800000</v>
      </c>
      <c r="R29" s="3">
        <v>35000000</v>
      </c>
      <c r="S29">
        <v>-4605086</v>
      </c>
      <c r="T29">
        <v>297</v>
      </c>
      <c r="U29">
        <v>50</v>
      </c>
      <c r="W29">
        <v>-3712898</v>
      </c>
      <c r="X29" t="s">
        <v>150</v>
      </c>
      <c r="Y29" t="s">
        <v>151</v>
      </c>
      <c r="Z29" t="s">
        <v>152</v>
      </c>
      <c r="AC29" s="3">
        <v>51683.999999999993</v>
      </c>
      <c r="AD29" s="3">
        <v>743152.96372347709</v>
      </c>
      <c r="AE29" s="3">
        <v>39799.847913608297</v>
      </c>
      <c r="AF29" s="3">
        <f t="shared" si="0"/>
        <v>-15301</v>
      </c>
      <c r="AG29">
        <f t="shared" si="1"/>
        <v>-0.29604906740964326</v>
      </c>
      <c r="AH29">
        <f t="shared" si="2"/>
        <v>-0.96748061244981465</v>
      </c>
    </row>
    <row r="30" spans="1:34" x14ac:dyDescent="0.25">
      <c r="A30" s="2">
        <v>45940</v>
      </c>
      <c r="B30" t="s">
        <v>31</v>
      </c>
      <c r="C30">
        <v>44</v>
      </c>
      <c r="D30" t="s">
        <v>90</v>
      </c>
      <c r="E30" t="s">
        <v>33</v>
      </c>
      <c r="F30" t="s">
        <v>37</v>
      </c>
      <c r="G30" t="s">
        <v>54</v>
      </c>
      <c r="H30">
        <v>45</v>
      </c>
      <c r="I30" t="s">
        <v>55</v>
      </c>
      <c r="J30" t="s">
        <v>33</v>
      </c>
      <c r="K30" t="s">
        <v>34</v>
      </c>
      <c r="L30" t="s">
        <v>38</v>
      </c>
      <c r="M30">
        <v>0.35</v>
      </c>
      <c r="N30">
        <v>539.1</v>
      </c>
      <c r="O30">
        <v>109.2</v>
      </c>
      <c r="P30">
        <v>621.4</v>
      </c>
      <c r="Q30" s="3">
        <v>5200000</v>
      </c>
      <c r="R30" s="3">
        <v>15000000</v>
      </c>
      <c r="S30">
        <v>-942860</v>
      </c>
      <c r="T30">
        <v>32</v>
      </c>
      <c r="U30">
        <v>216</v>
      </c>
      <c r="W30">
        <v>2083380</v>
      </c>
      <c r="X30" t="s">
        <v>153</v>
      </c>
      <c r="Y30" t="s">
        <v>153</v>
      </c>
      <c r="Z30" t="s">
        <v>154</v>
      </c>
      <c r="AC30" s="3">
        <v>56784.000000000007</v>
      </c>
      <c r="AD30" s="3">
        <v>1596336.536618754</v>
      </c>
      <c r="AE30" s="3">
        <v>1596336.536618754</v>
      </c>
      <c r="AF30" s="3">
        <f t="shared" si="0"/>
        <v>-48197</v>
      </c>
      <c r="AG30">
        <f t="shared" si="1"/>
        <v>-0.84877782473936314</v>
      </c>
      <c r="AH30">
        <f t="shared" si="2"/>
        <v>-0.13659121737035135</v>
      </c>
    </row>
    <row r="31" spans="1:34" x14ac:dyDescent="0.25">
      <c r="A31" s="2">
        <v>45940</v>
      </c>
      <c r="B31" t="s">
        <v>31</v>
      </c>
      <c r="C31">
        <v>42</v>
      </c>
      <c r="D31" t="s">
        <v>90</v>
      </c>
      <c r="E31" t="s">
        <v>33</v>
      </c>
      <c r="F31" t="s">
        <v>37</v>
      </c>
      <c r="G31" t="s">
        <v>54</v>
      </c>
      <c r="H31">
        <v>45</v>
      </c>
      <c r="I31" t="s">
        <v>55</v>
      </c>
      <c r="J31" t="s">
        <v>33</v>
      </c>
      <c r="K31" t="s">
        <v>34</v>
      </c>
      <c r="L31" t="s">
        <v>38</v>
      </c>
      <c r="M31">
        <v>0.35</v>
      </c>
      <c r="N31">
        <v>541.20000000000005</v>
      </c>
      <c r="O31">
        <v>111.3</v>
      </c>
      <c r="P31">
        <v>609.20000000000005</v>
      </c>
      <c r="Q31" s="3">
        <v>5300000</v>
      </c>
      <c r="R31" s="3">
        <v>15000000</v>
      </c>
      <c r="S31">
        <v>-931206</v>
      </c>
      <c r="T31">
        <v>24</v>
      </c>
      <c r="U31">
        <v>216</v>
      </c>
      <c r="W31">
        <v>2095035</v>
      </c>
      <c r="X31" t="s">
        <v>155</v>
      </c>
      <c r="Y31" t="s">
        <v>155</v>
      </c>
      <c r="Z31" t="s">
        <v>156</v>
      </c>
      <c r="AC31" s="3">
        <v>58988.999999999993</v>
      </c>
      <c r="AD31" s="3">
        <v>1629407.1457905539</v>
      </c>
      <c r="AE31" s="3">
        <v>1629407.1457905539</v>
      </c>
      <c r="AF31" s="3">
        <f t="shared" si="0"/>
        <v>-48266</v>
      </c>
      <c r="AG31">
        <f t="shared" si="1"/>
        <v>-0.81822034616623451</v>
      </c>
      <c r="AH31">
        <f t="shared" si="2"/>
        <v>-0.13431062806405686</v>
      </c>
    </row>
    <row r="32" spans="1:34" x14ac:dyDescent="0.25">
      <c r="A32" s="2">
        <v>45940</v>
      </c>
      <c r="B32" t="s">
        <v>31</v>
      </c>
      <c r="C32">
        <v>42</v>
      </c>
      <c r="D32" t="s">
        <v>90</v>
      </c>
      <c r="E32" t="s">
        <v>33</v>
      </c>
      <c r="F32" t="s">
        <v>37</v>
      </c>
      <c r="G32" t="s">
        <v>43</v>
      </c>
      <c r="H32">
        <v>44</v>
      </c>
      <c r="I32" t="s">
        <v>80</v>
      </c>
      <c r="J32" t="s">
        <v>33</v>
      </c>
      <c r="K32" t="s">
        <v>34</v>
      </c>
      <c r="L32" t="s">
        <v>38</v>
      </c>
      <c r="M32">
        <v>2.36</v>
      </c>
      <c r="N32">
        <v>187.2</v>
      </c>
      <c r="O32">
        <v>61.9</v>
      </c>
      <c r="P32">
        <v>306.10000000000002</v>
      </c>
      <c r="Q32" s="3">
        <v>11800000</v>
      </c>
      <c r="R32" s="3">
        <v>5000000</v>
      </c>
      <c r="S32">
        <v>-339252</v>
      </c>
      <c r="T32">
        <v>24</v>
      </c>
      <c r="U32">
        <v>480</v>
      </c>
      <c r="W32">
        <v>1691676</v>
      </c>
      <c r="X32" t="s">
        <v>157</v>
      </c>
      <c r="Y32" t="s">
        <v>157</v>
      </c>
      <c r="Z32" t="s">
        <v>158</v>
      </c>
      <c r="AC32" s="3">
        <v>73042</v>
      </c>
      <c r="AD32" s="3">
        <v>1127703.655030801</v>
      </c>
      <c r="AE32" s="3">
        <v>1127703.655030801</v>
      </c>
      <c r="AF32" s="3">
        <f t="shared" si="0"/>
        <v>-26317</v>
      </c>
      <c r="AG32">
        <f t="shared" si="1"/>
        <v>-0.36029955368144356</v>
      </c>
      <c r="AH32">
        <f t="shared" si="2"/>
        <v>-0.11770648601157907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17224-4A0B-4819-AA0C-D2E7DB352787}">
  <dimension ref="A1:AB32"/>
  <sheetViews>
    <sheetView topLeftCell="AD1" zoomScale="80" zoomScaleNormal="80" workbookViewId="0">
      <selection activeCell="BE11" sqref="BE11"/>
    </sheetView>
  </sheetViews>
  <sheetFormatPr defaultRowHeight="15" x14ac:dyDescent="0.25"/>
  <cols>
    <col min="1" max="1" width="7.28515625" bestFit="1" customWidth="1"/>
    <col min="2" max="2" width="12.28515625" style="4" bestFit="1" customWidth="1"/>
    <col min="3" max="3" width="14" style="4" customWidth="1"/>
    <col min="4" max="4" width="12" bestFit="1" customWidth="1"/>
    <col min="5" max="5" width="5.42578125" customWidth="1"/>
    <col min="6" max="6" width="14" customWidth="1"/>
    <col min="8" max="8" width="5.42578125" bestFit="1" customWidth="1"/>
    <col min="9" max="9" width="12.28515625" customWidth="1"/>
    <col min="10" max="10" width="9.140625" customWidth="1"/>
    <col min="11" max="11" width="6.85546875" hidden="1" customWidth="1"/>
    <col min="12" max="12" width="9.140625" hidden="1" customWidth="1"/>
    <col min="13" max="13" width="7" customWidth="1"/>
    <col min="14" max="14" width="9" hidden="1" customWidth="1"/>
    <col min="15" max="15" width="9.28515625" hidden="1" customWidth="1"/>
    <col min="16" max="16" width="13.28515625" customWidth="1"/>
    <col min="17" max="17" width="5.42578125" hidden="1" customWidth="1"/>
    <col min="18" max="18" width="5.85546875" hidden="1" customWidth="1"/>
    <col min="19" max="19" width="5.42578125" hidden="1" customWidth="1"/>
    <col min="20" max="20" width="0" hidden="1" customWidth="1"/>
    <col min="21" max="21" width="21.85546875" customWidth="1"/>
    <col min="22" max="22" width="23.140625" customWidth="1"/>
    <col min="23" max="23" width="24.5703125" customWidth="1"/>
    <col min="24" max="24" width="9.7109375" hidden="1" customWidth="1"/>
    <col min="25" max="25" width="0" hidden="1" customWidth="1"/>
    <col min="26" max="26" width="9.85546875" hidden="1" customWidth="1"/>
    <col min="27" max="27" width="10.5703125" hidden="1" customWidth="1"/>
    <col min="28" max="28" width="13.85546875" hidden="1" customWidth="1"/>
    <col min="48" max="49" width="11.42578125" bestFit="1" customWidth="1"/>
  </cols>
  <sheetData>
    <row r="1" spans="1:28" s="5" customFormat="1" ht="29.25" customHeight="1" x14ac:dyDescent="0.25">
      <c r="A1" s="6" t="s">
        <v>1771</v>
      </c>
      <c r="B1" s="7" t="s">
        <v>0</v>
      </c>
      <c r="C1" s="7" t="s">
        <v>5</v>
      </c>
      <c r="D1" s="8" t="s">
        <v>3</v>
      </c>
      <c r="E1" s="8" t="s">
        <v>1761</v>
      </c>
      <c r="F1" s="8" t="s">
        <v>10</v>
      </c>
      <c r="G1" s="8" t="s">
        <v>8</v>
      </c>
      <c r="H1" s="8" t="s">
        <v>1762</v>
      </c>
      <c r="I1" s="8" t="s">
        <v>11</v>
      </c>
      <c r="J1" s="8" t="s">
        <v>12</v>
      </c>
      <c r="K1" s="8" t="s">
        <v>13</v>
      </c>
      <c r="L1" s="8" t="s">
        <v>1770</v>
      </c>
      <c r="M1" s="8" t="s">
        <v>15</v>
      </c>
      <c r="N1" s="8" t="s">
        <v>16</v>
      </c>
      <c r="O1" s="8" t="s">
        <v>17</v>
      </c>
      <c r="P1" s="8" t="s">
        <v>18</v>
      </c>
      <c r="Q1" s="8" t="s">
        <v>19</v>
      </c>
      <c r="R1" s="8" t="s">
        <v>20</v>
      </c>
      <c r="S1" s="8" t="s">
        <v>21</v>
      </c>
      <c r="T1" s="8" t="s">
        <v>22</v>
      </c>
      <c r="U1" s="8" t="s">
        <v>23</v>
      </c>
      <c r="V1" s="8" t="s">
        <v>24</v>
      </c>
      <c r="W1" s="8" t="s">
        <v>1766</v>
      </c>
      <c r="X1" s="8" t="s">
        <v>1765</v>
      </c>
      <c r="Y1" s="8" t="s">
        <v>27</v>
      </c>
      <c r="Z1" s="8" t="s">
        <v>1767</v>
      </c>
      <c r="AA1" s="8" t="s">
        <v>1768</v>
      </c>
      <c r="AB1" s="8" t="s">
        <v>1769</v>
      </c>
    </row>
    <row r="2" spans="1:28" x14ac:dyDescent="0.25">
      <c r="A2" s="9">
        <v>1</v>
      </c>
      <c r="B2" s="10">
        <v>45667</v>
      </c>
      <c r="C2" s="10" t="s">
        <v>1747</v>
      </c>
      <c r="D2" s="9" t="s">
        <v>32</v>
      </c>
      <c r="E2" s="9" t="s">
        <v>1763</v>
      </c>
      <c r="F2" s="10" t="s">
        <v>1753</v>
      </c>
      <c r="G2" s="9" t="s">
        <v>36</v>
      </c>
      <c r="H2" s="9" t="s">
        <v>1764</v>
      </c>
      <c r="I2" s="9" t="s">
        <v>38</v>
      </c>
      <c r="J2" s="9">
        <v>0.19</v>
      </c>
      <c r="K2" s="9">
        <v>38.200000000000003</v>
      </c>
      <c r="L2" s="9">
        <v>204.7</v>
      </c>
      <c r="M2" s="9">
        <v>164.1</v>
      </c>
      <c r="N2" s="11">
        <v>2900000</v>
      </c>
      <c r="O2" s="11">
        <v>15000000</v>
      </c>
      <c r="P2" s="11">
        <v>-2382429</v>
      </c>
      <c r="Q2" s="9">
        <v>215</v>
      </c>
      <c r="R2" s="9">
        <v>34</v>
      </c>
      <c r="S2" s="9"/>
      <c r="T2" s="11">
        <v>-2040486</v>
      </c>
      <c r="U2" s="9" t="s">
        <v>39</v>
      </c>
      <c r="V2" s="9" t="s">
        <v>40</v>
      </c>
      <c r="W2" s="12" t="s">
        <v>41</v>
      </c>
      <c r="X2" s="9" t="s">
        <v>42</v>
      </c>
      <c r="Y2" s="9"/>
      <c r="Z2" s="11">
        <v>59362.999999999993</v>
      </c>
      <c r="AA2" s="11">
        <v>107054.75701574259</v>
      </c>
      <c r="AB2" s="11">
        <v>107054.75701574259</v>
      </c>
    </row>
    <row r="3" spans="1:28" x14ac:dyDescent="0.25">
      <c r="A3" s="9">
        <v>2</v>
      </c>
      <c r="B3" s="10">
        <v>45667</v>
      </c>
      <c r="C3" s="10" t="s">
        <v>1748</v>
      </c>
      <c r="D3" s="9" t="s">
        <v>36</v>
      </c>
      <c r="E3" s="9" t="s">
        <v>1764</v>
      </c>
      <c r="F3" s="10" t="s">
        <v>1749</v>
      </c>
      <c r="G3" s="9" t="s">
        <v>44</v>
      </c>
      <c r="H3" s="9" t="s">
        <v>1763</v>
      </c>
      <c r="I3" s="9" t="s">
        <v>38</v>
      </c>
      <c r="J3" s="9">
        <v>0.69</v>
      </c>
      <c r="K3" s="9">
        <v>366.9</v>
      </c>
      <c r="L3" s="9">
        <v>31.4</v>
      </c>
      <c r="M3" s="9">
        <v>159.1</v>
      </c>
      <c r="N3" s="11">
        <v>34500000</v>
      </c>
      <c r="O3" s="11">
        <v>50000000</v>
      </c>
      <c r="P3" s="11">
        <v>-3105875</v>
      </c>
      <c r="Q3" s="9">
        <v>92</v>
      </c>
      <c r="R3" s="9">
        <v>318</v>
      </c>
      <c r="S3" s="9"/>
      <c r="T3" s="11">
        <v>-465491</v>
      </c>
      <c r="U3" s="9" t="s">
        <v>45</v>
      </c>
      <c r="V3" s="9" t="s">
        <v>46</v>
      </c>
      <c r="W3" s="12" t="s">
        <v>47</v>
      </c>
      <c r="X3" s="9" t="s">
        <v>48</v>
      </c>
      <c r="Y3" s="9"/>
      <c r="Z3" s="11">
        <v>108330</v>
      </c>
      <c r="AA3" s="11">
        <v>6288960.9856262831</v>
      </c>
      <c r="AB3" s="11">
        <v>3104669.2783010881</v>
      </c>
    </row>
    <row r="4" spans="1:28" x14ac:dyDescent="0.25">
      <c r="A4" s="9">
        <v>3</v>
      </c>
      <c r="B4" s="10">
        <v>45667</v>
      </c>
      <c r="C4" s="10" t="s">
        <v>1749</v>
      </c>
      <c r="D4" s="9" t="s">
        <v>49</v>
      </c>
      <c r="E4" s="9" t="s">
        <v>1763</v>
      </c>
      <c r="F4" s="10" t="s">
        <v>1753</v>
      </c>
      <c r="G4" s="9" t="s">
        <v>36</v>
      </c>
      <c r="H4" s="9" t="s">
        <v>1764</v>
      </c>
      <c r="I4" s="9" t="s">
        <v>38</v>
      </c>
      <c r="J4" s="9">
        <v>0.15</v>
      </c>
      <c r="K4" s="9">
        <v>163.19999999999999</v>
      </c>
      <c r="L4" s="9">
        <v>278.2</v>
      </c>
      <c r="M4" s="9">
        <v>151.9</v>
      </c>
      <c r="N4" s="11">
        <v>2300000</v>
      </c>
      <c r="O4" s="11">
        <v>15000000</v>
      </c>
      <c r="P4" s="11">
        <v>-2128283</v>
      </c>
      <c r="Q4" s="9">
        <v>395</v>
      </c>
      <c r="R4" s="9">
        <v>34</v>
      </c>
      <c r="S4" s="9"/>
      <c r="T4" s="11">
        <v>-1853632</v>
      </c>
      <c r="U4" s="9" t="s">
        <v>50</v>
      </c>
      <c r="V4" s="9" t="s">
        <v>51</v>
      </c>
      <c r="W4" s="12" t="s">
        <v>52</v>
      </c>
      <c r="X4" s="9" t="s">
        <v>53</v>
      </c>
      <c r="Y4" s="9"/>
      <c r="Z4" s="11">
        <v>63985.999999999993</v>
      </c>
      <c r="AA4" s="11">
        <v>247896.6461327858</v>
      </c>
      <c r="AB4" s="11">
        <v>247896.6461327858</v>
      </c>
    </row>
    <row r="5" spans="1:28" x14ac:dyDescent="0.25">
      <c r="A5" s="9">
        <v>4</v>
      </c>
      <c r="B5" s="10">
        <v>45726</v>
      </c>
      <c r="C5" s="10" t="s">
        <v>1750</v>
      </c>
      <c r="D5" s="9" t="s">
        <v>55</v>
      </c>
      <c r="E5" s="9" t="s">
        <v>1763</v>
      </c>
      <c r="F5" s="10" t="s">
        <v>1748</v>
      </c>
      <c r="G5" s="9" t="s">
        <v>36</v>
      </c>
      <c r="H5" s="9" t="s">
        <v>1764</v>
      </c>
      <c r="I5" s="9" t="s">
        <v>38</v>
      </c>
      <c r="J5" s="9">
        <v>0.44</v>
      </c>
      <c r="K5" s="9">
        <v>4.3</v>
      </c>
      <c r="L5" s="9">
        <v>53.2</v>
      </c>
      <c r="M5" s="9">
        <v>971</v>
      </c>
      <c r="N5" s="11">
        <v>15000000</v>
      </c>
      <c r="O5" s="11">
        <v>34200000</v>
      </c>
      <c r="P5" s="11">
        <v>-7108586</v>
      </c>
      <c r="Q5" s="9">
        <v>218</v>
      </c>
      <c r="R5" s="9">
        <v>86</v>
      </c>
      <c r="S5" s="9"/>
      <c r="T5" s="11">
        <v>-5193500</v>
      </c>
      <c r="U5" s="9" t="s">
        <v>56</v>
      </c>
      <c r="V5" s="9" t="s">
        <v>57</v>
      </c>
      <c r="W5" s="12" t="s">
        <v>58</v>
      </c>
      <c r="X5" s="9" t="s">
        <v>42</v>
      </c>
      <c r="Y5" s="9"/>
      <c r="Z5" s="11">
        <v>79800</v>
      </c>
      <c r="AA5" s="11">
        <v>157175.85215605749</v>
      </c>
      <c r="AB5" s="11">
        <v>157175.85215605749</v>
      </c>
    </row>
    <row r="6" spans="1:28" x14ac:dyDescent="0.25">
      <c r="A6" s="9">
        <v>5</v>
      </c>
      <c r="B6" s="10">
        <v>45726</v>
      </c>
      <c r="C6" s="10" t="s">
        <v>1750</v>
      </c>
      <c r="D6" s="9" t="s">
        <v>55</v>
      </c>
      <c r="E6" s="9" t="s">
        <v>1763</v>
      </c>
      <c r="F6" s="10" t="s">
        <v>1756</v>
      </c>
      <c r="G6" s="9" t="s">
        <v>44</v>
      </c>
      <c r="H6" s="9" t="s">
        <v>1764</v>
      </c>
      <c r="I6" s="9" t="s">
        <v>38</v>
      </c>
      <c r="J6" s="9">
        <v>0.18</v>
      </c>
      <c r="K6" s="9">
        <v>10.8</v>
      </c>
      <c r="L6" s="9">
        <v>54</v>
      </c>
      <c r="M6" s="9">
        <v>603.29999999999995</v>
      </c>
      <c r="N6" s="11">
        <v>15000000</v>
      </c>
      <c r="O6" s="11">
        <v>82700000</v>
      </c>
      <c r="P6" s="11">
        <v>-2275997</v>
      </c>
      <c r="Q6" s="9">
        <v>218</v>
      </c>
      <c r="R6" s="9">
        <v>37</v>
      </c>
      <c r="S6" s="9"/>
      <c r="T6" s="11">
        <v>-360911</v>
      </c>
      <c r="U6" s="9" t="s">
        <v>59</v>
      </c>
      <c r="V6" s="9" t="s">
        <v>60</v>
      </c>
      <c r="W6" s="12" t="s">
        <v>61</v>
      </c>
      <c r="X6" s="9" t="s">
        <v>62</v>
      </c>
      <c r="Y6" s="9"/>
      <c r="Z6" s="11">
        <v>81000</v>
      </c>
      <c r="AA6" s="11">
        <v>406214.40109514049</v>
      </c>
      <c r="AB6" s="11">
        <v>1460970.2231496191</v>
      </c>
    </row>
    <row r="7" spans="1:28" x14ac:dyDescent="0.25">
      <c r="A7" s="9">
        <v>6</v>
      </c>
      <c r="B7" s="10">
        <v>45726</v>
      </c>
      <c r="C7" s="10" t="s">
        <v>1750</v>
      </c>
      <c r="D7" s="9" t="s">
        <v>63</v>
      </c>
      <c r="E7" s="9" t="s">
        <v>1763</v>
      </c>
      <c r="F7" s="10" t="s">
        <v>1757</v>
      </c>
      <c r="G7" s="9" t="s">
        <v>44</v>
      </c>
      <c r="H7" s="9" t="s">
        <v>1764</v>
      </c>
      <c r="I7" s="9" t="s">
        <v>38</v>
      </c>
      <c r="J7" s="9">
        <v>3.59</v>
      </c>
      <c r="K7" s="9">
        <v>2.8</v>
      </c>
      <c r="L7" s="9">
        <v>56.1</v>
      </c>
      <c r="M7" s="9">
        <v>294.2</v>
      </c>
      <c r="N7" s="11">
        <v>25000000</v>
      </c>
      <c r="O7" s="11">
        <v>7000000</v>
      </c>
      <c r="P7" s="11">
        <v>-433466</v>
      </c>
      <c r="Q7" s="9">
        <v>72</v>
      </c>
      <c r="R7" s="9">
        <v>229</v>
      </c>
      <c r="S7" s="9"/>
      <c r="T7" s="11">
        <v>-153973</v>
      </c>
      <c r="U7" s="9" t="s">
        <v>64</v>
      </c>
      <c r="V7" s="9" t="s">
        <v>65</v>
      </c>
      <c r="W7" s="12" t="s">
        <v>66</v>
      </c>
      <c r="X7" s="9"/>
      <c r="Y7" s="9"/>
      <c r="Z7" s="11">
        <v>140250</v>
      </c>
      <c r="AA7" s="11">
        <v>254361.9438740589</v>
      </c>
      <c r="AB7" s="11">
        <v>783416.76975117635</v>
      </c>
    </row>
    <row r="8" spans="1:28" x14ac:dyDescent="0.25">
      <c r="A8" s="9">
        <v>7</v>
      </c>
      <c r="B8" s="10">
        <v>45737</v>
      </c>
      <c r="C8" s="10" t="s">
        <v>1749</v>
      </c>
      <c r="D8" s="9" t="s">
        <v>49</v>
      </c>
      <c r="E8" s="9" t="s">
        <v>1763</v>
      </c>
      <c r="F8" s="10" t="s">
        <v>1753</v>
      </c>
      <c r="G8" s="9" t="s">
        <v>49</v>
      </c>
      <c r="H8" s="9" t="s">
        <v>1764</v>
      </c>
      <c r="I8" s="9" t="s">
        <v>38</v>
      </c>
      <c r="J8" s="9">
        <v>1.1100000000000001</v>
      </c>
      <c r="K8" s="9">
        <v>142.6</v>
      </c>
      <c r="L8" s="9">
        <v>121.7</v>
      </c>
      <c r="M8" s="9">
        <v>188.5</v>
      </c>
      <c r="N8" s="11">
        <v>5000000</v>
      </c>
      <c r="O8" s="11">
        <v>4500000</v>
      </c>
      <c r="P8" s="11">
        <v>-160325</v>
      </c>
      <c r="Q8" s="9">
        <v>447</v>
      </c>
      <c r="R8" s="9">
        <v>325</v>
      </c>
      <c r="S8" s="9"/>
      <c r="T8" s="11">
        <v>480805</v>
      </c>
      <c r="U8" s="9" t="s">
        <v>67</v>
      </c>
      <c r="V8" s="9" t="s">
        <v>68</v>
      </c>
      <c r="W8" s="12" t="s">
        <v>69</v>
      </c>
      <c r="X8" s="9" t="s">
        <v>70</v>
      </c>
      <c r="Y8" s="9"/>
      <c r="Z8" s="11">
        <v>60850</v>
      </c>
      <c r="AA8" s="11">
        <v>513100.61601642688</v>
      </c>
      <c r="AB8" s="11">
        <v>513100.61601642688</v>
      </c>
    </row>
    <row r="9" spans="1:28" x14ac:dyDescent="0.25">
      <c r="A9" s="9">
        <v>8</v>
      </c>
      <c r="B9" s="10">
        <v>45737</v>
      </c>
      <c r="C9" s="10" t="s">
        <v>1748</v>
      </c>
      <c r="D9" s="9" t="s">
        <v>36</v>
      </c>
      <c r="E9" s="9" t="s">
        <v>1764</v>
      </c>
      <c r="F9" s="10" t="s">
        <v>1750</v>
      </c>
      <c r="G9" s="9" t="s">
        <v>63</v>
      </c>
      <c r="H9" s="9" t="s">
        <v>1763</v>
      </c>
      <c r="I9" s="9" t="s">
        <v>38</v>
      </c>
      <c r="J9" s="9">
        <v>0.24</v>
      </c>
      <c r="K9" s="9">
        <v>201.2</v>
      </c>
      <c r="L9" s="9">
        <v>127.9</v>
      </c>
      <c r="M9" s="9">
        <v>169.2</v>
      </c>
      <c r="N9" s="11">
        <v>6000000</v>
      </c>
      <c r="O9" s="11">
        <v>25000000</v>
      </c>
      <c r="P9" s="11">
        <v>-861430</v>
      </c>
      <c r="Q9" s="9">
        <v>87</v>
      </c>
      <c r="R9" s="9">
        <v>71</v>
      </c>
      <c r="S9" s="9"/>
      <c r="T9" s="11">
        <v>-573374</v>
      </c>
      <c r="U9" s="9" t="s">
        <v>71</v>
      </c>
      <c r="V9" s="9" t="s">
        <v>72</v>
      </c>
      <c r="W9" s="12" t="s">
        <v>73</v>
      </c>
      <c r="X9" s="9" t="s">
        <v>74</v>
      </c>
      <c r="Y9" s="9"/>
      <c r="Z9" s="11">
        <v>76740</v>
      </c>
      <c r="AA9" s="11">
        <v>595196.44079397665</v>
      </c>
      <c r="AB9" s="11">
        <v>595196.44079397665</v>
      </c>
    </row>
    <row r="10" spans="1:28" x14ac:dyDescent="0.25">
      <c r="A10" s="9">
        <v>9</v>
      </c>
      <c r="B10" s="10">
        <v>45737</v>
      </c>
      <c r="C10" s="10" t="s">
        <v>1751</v>
      </c>
      <c r="D10" s="9" t="s">
        <v>44</v>
      </c>
      <c r="E10" s="9" t="s">
        <v>1764</v>
      </c>
      <c r="F10" s="10" t="s">
        <v>1750</v>
      </c>
      <c r="G10" s="9" t="s">
        <v>55</v>
      </c>
      <c r="H10" s="9" t="s">
        <v>1763</v>
      </c>
      <c r="I10" s="9" t="s">
        <v>38</v>
      </c>
      <c r="J10" s="9">
        <v>2.2200000000000002</v>
      </c>
      <c r="K10" s="9">
        <v>6.7</v>
      </c>
      <c r="L10" s="9">
        <v>35.700000000000003</v>
      </c>
      <c r="M10" s="9">
        <v>166.1</v>
      </c>
      <c r="N10" s="11">
        <v>25000000</v>
      </c>
      <c r="O10" s="11">
        <v>11300000</v>
      </c>
      <c r="P10" s="11">
        <v>-624717</v>
      </c>
      <c r="Q10" s="9">
        <v>91</v>
      </c>
      <c r="R10" s="9">
        <v>215</v>
      </c>
      <c r="S10" s="9"/>
      <c r="T10" s="11">
        <v>815234</v>
      </c>
      <c r="U10" s="9" t="s">
        <v>76</v>
      </c>
      <c r="V10" s="9" t="s">
        <v>77</v>
      </c>
      <c r="W10" s="12" t="s">
        <v>78</v>
      </c>
      <c r="X10" s="9"/>
      <c r="Y10" s="9"/>
      <c r="Z10" s="11">
        <v>89250</v>
      </c>
      <c r="AA10" s="11">
        <v>187373.71663244339</v>
      </c>
      <c r="AB10" s="11">
        <v>1120034.7737652729</v>
      </c>
    </row>
    <row r="11" spans="1:28" x14ac:dyDescent="0.25">
      <c r="A11" s="9">
        <v>10</v>
      </c>
      <c r="B11" s="10">
        <v>45755</v>
      </c>
      <c r="C11" s="10" t="s">
        <v>1748</v>
      </c>
      <c r="D11" s="9" t="s">
        <v>79</v>
      </c>
      <c r="E11" s="9" t="s">
        <v>1764</v>
      </c>
      <c r="F11" s="10" t="s">
        <v>1748</v>
      </c>
      <c r="G11" s="9" t="s">
        <v>80</v>
      </c>
      <c r="H11" s="9" t="s">
        <v>1763</v>
      </c>
      <c r="I11" s="9" t="s">
        <v>38</v>
      </c>
      <c r="J11" s="9">
        <v>1.5</v>
      </c>
      <c r="K11" s="9">
        <v>188.3</v>
      </c>
      <c r="L11" s="9">
        <v>94.3</v>
      </c>
      <c r="M11" s="9">
        <v>180.1</v>
      </c>
      <c r="N11" s="11">
        <v>7500000</v>
      </c>
      <c r="O11" s="11">
        <v>5000000</v>
      </c>
      <c r="P11" s="11">
        <v>-1171046</v>
      </c>
      <c r="Q11" s="9">
        <v>346</v>
      </c>
      <c r="R11" s="9">
        <v>776</v>
      </c>
      <c r="S11" s="9"/>
      <c r="T11" s="11">
        <v>399067</v>
      </c>
      <c r="U11" s="9" t="s">
        <v>81</v>
      </c>
      <c r="V11" s="9" t="s">
        <v>82</v>
      </c>
      <c r="W11" s="12" t="s">
        <v>83</v>
      </c>
      <c r="X11" s="9" t="s">
        <v>84</v>
      </c>
      <c r="Y11" s="9"/>
      <c r="Z11" s="11">
        <v>70725</v>
      </c>
      <c r="AA11" s="11">
        <v>604064.33949349751</v>
      </c>
      <c r="AB11" s="11">
        <v>604064.33949349751</v>
      </c>
    </row>
    <row r="12" spans="1:28" x14ac:dyDescent="0.25">
      <c r="A12" s="9">
        <v>11</v>
      </c>
      <c r="B12" s="10">
        <v>45755</v>
      </c>
      <c r="C12" s="10" t="s">
        <v>1748</v>
      </c>
      <c r="D12" s="9" t="s">
        <v>79</v>
      </c>
      <c r="E12" s="9" t="s">
        <v>1764</v>
      </c>
      <c r="F12" s="10" t="s">
        <v>1747</v>
      </c>
      <c r="G12" s="9" t="s">
        <v>85</v>
      </c>
      <c r="H12" s="9" t="s">
        <v>1763</v>
      </c>
      <c r="I12" s="9" t="s">
        <v>38</v>
      </c>
      <c r="J12" s="9">
        <v>0.28000000000000003</v>
      </c>
      <c r="K12" s="9">
        <v>180.5</v>
      </c>
      <c r="L12" s="9">
        <v>135.9</v>
      </c>
      <c r="M12" s="9">
        <v>123.6</v>
      </c>
      <c r="N12" s="11">
        <v>5600000</v>
      </c>
      <c r="O12" s="11">
        <v>20000000</v>
      </c>
      <c r="P12" s="11">
        <v>-785954</v>
      </c>
      <c r="Q12" s="9">
        <v>346</v>
      </c>
      <c r="R12" s="9">
        <v>140</v>
      </c>
      <c r="S12" s="9"/>
      <c r="T12" s="11">
        <v>-192935</v>
      </c>
      <c r="U12" s="9" t="s">
        <v>86</v>
      </c>
      <c r="V12" s="9" t="s">
        <v>87</v>
      </c>
      <c r="W12" s="12" t="s">
        <v>88</v>
      </c>
      <c r="X12" s="9" t="s">
        <v>89</v>
      </c>
      <c r="Y12" s="9"/>
      <c r="Z12" s="11">
        <v>76104.000000000015</v>
      </c>
      <c r="AA12" s="11">
        <v>405404.73648186179</v>
      </c>
      <c r="AB12" s="11">
        <v>405404.73648186179</v>
      </c>
    </row>
    <row r="13" spans="1:28" x14ac:dyDescent="0.25">
      <c r="A13" s="9">
        <v>12</v>
      </c>
      <c r="B13" s="10">
        <v>45755</v>
      </c>
      <c r="C13" s="10" t="s">
        <v>1747</v>
      </c>
      <c r="D13" s="9" t="s">
        <v>90</v>
      </c>
      <c r="E13" s="9" t="s">
        <v>1764</v>
      </c>
      <c r="F13" s="10" t="s">
        <v>1747</v>
      </c>
      <c r="G13" s="9" t="s">
        <v>32</v>
      </c>
      <c r="H13" s="9" t="s">
        <v>1763</v>
      </c>
      <c r="I13" s="9" t="s">
        <v>38</v>
      </c>
      <c r="J13" s="9">
        <v>0.74</v>
      </c>
      <c r="K13" s="9">
        <v>317.39999999999998</v>
      </c>
      <c r="L13" s="9">
        <v>235.2</v>
      </c>
      <c r="M13" s="9">
        <v>122.4</v>
      </c>
      <c r="N13" s="11">
        <v>7400000</v>
      </c>
      <c r="O13" s="11">
        <v>10000000</v>
      </c>
      <c r="P13" s="11">
        <v>-919190</v>
      </c>
      <c r="Q13" s="9">
        <v>37</v>
      </c>
      <c r="R13" s="9">
        <v>252</v>
      </c>
      <c r="S13" s="9"/>
      <c r="T13" s="11">
        <v>438418</v>
      </c>
      <c r="U13" s="9" t="s">
        <v>91</v>
      </c>
      <c r="V13" s="9" t="s">
        <v>92</v>
      </c>
      <c r="W13" s="12" t="s">
        <v>93</v>
      </c>
      <c r="X13" s="9" t="s">
        <v>94</v>
      </c>
      <c r="Y13" s="9"/>
      <c r="Z13" s="11">
        <v>174048</v>
      </c>
      <c r="AA13" s="11">
        <v>1055913.8672142371</v>
      </c>
      <c r="AB13" s="11">
        <v>1055913.8672142371</v>
      </c>
    </row>
    <row r="14" spans="1:28" x14ac:dyDescent="0.25">
      <c r="A14" s="9">
        <v>13</v>
      </c>
      <c r="B14" s="10">
        <v>45761</v>
      </c>
      <c r="C14" s="10" t="s">
        <v>1748</v>
      </c>
      <c r="D14" s="9" t="s">
        <v>36</v>
      </c>
      <c r="E14" s="9" t="s">
        <v>1764</v>
      </c>
      <c r="F14" s="10" t="s">
        <v>1752</v>
      </c>
      <c r="G14" s="9" t="s">
        <v>44</v>
      </c>
      <c r="H14" s="9" t="s">
        <v>1763</v>
      </c>
      <c r="I14" s="9" t="s">
        <v>38</v>
      </c>
      <c r="J14" s="9">
        <v>0.69</v>
      </c>
      <c r="K14" s="9">
        <v>427.6</v>
      </c>
      <c r="L14" s="9">
        <v>26.3</v>
      </c>
      <c r="M14" s="9">
        <v>327.5</v>
      </c>
      <c r="N14" s="11">
        <v>34700000</v>
      </c>
      <c r="O14" s="11">
        <v>50000000</v>
      </c>
      <c r="P14" s="11">
        <v>-4511826</v>
      </c>
      <c r="Q14" s="9">
        <v>115</v>
      </c>
      <c r="R14" s="9">
        <v>420</v>
      </c>
      <c r="S14" s="9"/>
      <c r="T14" s="11">
        <v>-1347396</v>
      </c>
      <c r="U14" s="9" t="s">
        <v>95</v>
      </c>
      <c r="V14" s="9" t="s">
        <v>96</v>
      </c>
      <c r="W14" s="12" t="s">
        <v>97</v>
      </c>
      <c r="X14" s="9" t="s">
        <v>98</v>
      </c>
      <c r="Y14" s="9"/>
      <c r="Z14" s="11">
        <v>91261</v>
      </c>
      <c r="AA14" s="11">
        <v>9014443.3949349746</v>
      </c>
      <c r="AB14" s="11">
        <v>5766080.61821739</v>
      </c>
    </row>
    <row r="15" spans="1:28" x14ac:dyDescent="0.25">
      <c r="A15" s="9">
        <v>14</v>
      </c>
      <c r="B15" s="10">
        <v>45761</v>
      </c>
      <c r="C15" s="10" t="s">
        <v>1750</v>
      </c>
      <c r="D15" s="9" t="s">
        <v>55</v>
      </c>
      <c r="E15" s="9" t="s">
        <v>1763</v>
      </c>
      <c r="F15" s="10" t="s">
        <v>1747</v>
      </c>
      <c r="G15" s="9" t="s">
        <v>90</v>
      </c>
      <c r="H15" s="9" t="s">
        <v>1764</v>
      </c>
      <c r="I15" s="9" t="s">
        <v>38</v>
      </c>
      <c r="J15" s="9">
        <v>0.28999999999999998</v>
      </c>
      <c r="K15" s="9">
        <v>110.1</v>
      </c>
      <c r="L15" s="9">
        <v>52.7</v>
      </c>
      <c r="M15" s="9">
        <v>288.60000000000002</v>
      </c>
      <c r="N15" s="11">
        <v>15000000</v>
      </c>
      <c r="O15" s="11">
        <v>51100000</v>
      </c>
      <c r="P15" s="11">
        <v>-2451950</v>
      </c>
      <c r="Q15" s="9">
        <v>262</v>
      </c>
      <c r="R15" s="9">
        <v>35</v>
      </c>
      <c r="S15" s="9"/>
      <c r="T15" s="11">
        <v>-199283</v>
      </c>
      <c r="U15" s="9" t="s">
        <v>99</v>
      </c>
      <c r="V15" s="9" t="s">
        <v>100</v>
      </c>
      <c r="W15" s="12" t="s">
        <v>101</v>
      </c>
      <c r="X15" s="9" t="s">
        <v>102</v>
      </c>
      <c r="Y15" s="9"/>
      <c r="Z15" s="11">
        <v>79050</v>
      </c>
      <c r="AA15" s="11">
        <v>1003177.6865160851</v>
      </c>
      <c r="AB15" s="11">
        <v>1003177.6865160851</v>
      </c>
    </row>
    <row r="16" spans="1:28" x14ac:dyDescent="0.25">
      <c r="A16" s="9">
        <v>15</v>
      </c>
      <c r="B16" s="10">
        <v>45761</v>
      </c>
      <c r="C16" s="10" t="s">
        <v>1752</v>
      </c>
      <c r="D16" s="9" t="s">
        <v>44</v>
      </c>
      <c r="E16" s="9" t="s">
        <v>1763</v>
      </c>
      <c r="F16" s="10" t="s">
        <v>1747</v>
      </c>
      <c r="G16" s="9" t="s">
        <v>90</v>
      </c>
      <c r="H16" s="9" t="s">
        <v>1764</v>
      </c>
      <c r="I16" s="9" t="s">
        <v>38</v>
      </c>
      <c r="J16" s="9">
        <v>0.45</v>
      </c>
      <c r="K16" s="9">
        <v>292</v>
      </c>
      <c r="L16" s="9">
        <v>22</v>
      </c>
      <c r="M16" s="9">
        <v>273.39999999999998</v>
      </c>
      <c r="N16" s="11">
        <v>50000000</v>
      </c>
      <c r="O16" s="11">
        <v>110000000</v>
      </c>
      <c r="P16" s="11">
        <v>-1685646</v>
      </c>
      <c r="Q16" s="9">
        <v>420</v>
      </c>
      <c r="R16" s="9">
        <v>35</v>
      </c>
      <c r="S16" s="9"/>
      <c r="T16" s="11">
        <v>1466086</v>
      </c>
      <c r="U16" s="9" t="s">
        <v>103</v>
      </c>
      <c r="V16" s="9" t="s">
        <v>104</v>
      </c>
      <c r="W16" s="12" t="s">
        <v>105</v>
      </c>
      <c r="X16" s="9" t="s">
        <v>106</v>
      </c>
      <c r="Y16" s="9"/>
      <c r="Z16" s="11">
        <v>110000</v>
      </c>
      <c r="AA16" s="11">
        <v>9080260.0958247762</v>
      </c>
      <c r="AB16" s="11">
        <v>5831897.3191071916</v>
      </c>
    </row>
    <row r="17" spans="1:28" x14ac:dyDescent="0.25">
      <c r="A17" s="9">
        <v>16</v>
      </c>
      <c r="B17" s="10">
        <v>45799</v>
      </c>
      <c r="C17" s="10" t="s">
        <v>1750</v>
      </c>
      <c r="D17" s="9" t="s">
        <v>63</v>
      </c>
      <c r="E17" s="9" t="s">
        <v>1763</v>
      </c>
      <c r="F17" s="10" t="s">
        <v>1748</v>
      </c>
      <c r="G17" s="9" t="s">
        <v>36</v>
      </c>
      <c r="H17" s="9" t="s">
        <v>1764</v>
      </c>
      <c r="I17" s="9" t="s">
        <v>38</v>
      </c>
      <c r="J17" s="9">
        <v>1.43</v>
      </c>
      <c r="K17" s="9">
        <v>2.7</v>
      </c>
      <c r="L17" s="9">
        <v>22.8</v>
      </c>
      <c r="M17" s="9">
        <v>356.3</v>
      </c>
      <c r="N17" s="11">
        <v>25000000</v>
      </c>
      <c r="O17" s="11">
        <v>17500000</v>
      </c>
      <c r="P17" s="11">
        <v>-2876622</v>
      </c>
      <c r="Q17" s="9">
        <v>68</v>
      </c>
      <c r="R17" s="9">
        <v>82</v>
      </c>
      <c r="S17" s="9"/>
      <c r="T17" s="11">
        <v>-2551769</v>
      </c>
      <c r="U17" s="9" t="s">
        <v>107</v>
      </c>
      <c r="V17" s="9" t="s">
        <v>108</v>
      </c>
      <c r="W17" s="12" t="s">
        <v>109</v>
      </c>
      <c r="X17" s="9" t="s">
        <v>110</v>
      </c>
      <c r="Y17" s="9"/>
      <c r="Z17" s="11">
        <v>57000</v>
      </c>
      <c r="AA17" s="11">
        <v>121381.2457221082</v>
      </c>
      <c r="AB17" s="11">
        <v>121381.2457221082</v>
      </c>
    </row>
    <row r="18" spans="1:28" x14ac:dyDescent="0.25">
      <c r="A18" s="9">
        <v>17</v>
      </c>
      <c r="B18" s="10">
        <v>45799</v>
      </c>
      <c r="C18" s="10" t="s">
        <v>1750</v>
      </c>
      <c r="D18" s="9" t="s">
        <v>55</v>
      </c>
      <c r="E18" s="9" t="s">
        <v>1763</v>
      </c>
      <c r="F18" s="10" t="s">
        <v>1748</v>
      </c>
      <c r="G18" s="9" t="s">
        <v>79</v>
      </c>
      <c r="H18" s="9" t="s">
        <v>1764</v>
      </c>
      <c r="I18" s="9" t="s">
        <v>38</v>
      </c>
      <c r="J18" s="9">
        <v>1.47</v>
      </c>
      <c r="K18" s="9">
        <v>31.3</v>
      </c>
      <c r="L18" s="9">
        <v>38.6</v>
      </c>
      <c r="M18" s="9">
        <v>219.7</v>
      </c>
      <c r="N18" s="11">
        <v>14700000</v>
      </c>
      <c r="O18" s="11">
        <v>10000000</v>
      </c>
      <c r="P18" s="11">
        <v>-1798536</v>
      </c>
      <c r="Q18" s="9">
        <v>205</v>
      </c>
      <c r="R18" s="9">
        <v>222</v>
      </c>
      <c r="S18" s="9"/>
      <c r="T18" s="11">
        <v>83903</v>
      </c>
      <c r="U18" s="9" t="s">
        <v>111</v>
      </c>
      <c r="V18" s="9" t="s">
        <v>112</v>
      </c>
      <c r="W18" s="12" t="s">
        <v>113</v>
      </c>
      <c r="X18" s="9" t="s">
        <v>114</v>
      </c>
      <c r="Y18" s="9"/>
      <c r="Z18" s="11">
        <v>56742</v>
      </c>
      <c r="AA18" s="11">
        <v>363456.67351129348</v>
      </c>
      <c r="AB18" s="11">
        <v>363456.67351129348</v>
      </c>
    </row>
    <row r="19" spans="1:28" x14ac:dyDescent="0.25">
      <c r="A19" s="9">
        <v>18</v>
      </c>
      <c r="B19" s="10">
        <v>45799</v>
      </c>
      <c r="C19" s="10" t="s">
        <v>1749</v>
      </c>
      <c r="D19" s="9" t="s">
        <v>49</v>
      </c>
      <c r="E19" s="9" t="s">
        <v>1763</v>
      </c>
      <c r="F19" s="10" t="s">
        <v>1748</v>
      </c>
      <c r="G19" s="9" t="s">
        <v>79</v>
      </c>
      <c r="H19" s="9" t="s">
        <v>1764</v>
      </c>
      <c r="I19" s="9" t="s">
        <v>38</v>
      </c>
      <c r="J19" s="9">
        <v>0.63</v>
      </c>
      <c r="K19" s="9">
        <v>7.4</v>
      </c>
      <c r="L19" s="9">
        <v>155.5</v>
      </c>
      <c r="M19" s="9">
        <v>215.2</v>
      </c>
      <c r="N19" s="11">
        <v>5000000</v>
      </c>
      <c r="O19" s="11">
        <v>7900000</v>
      </c>
      <c r="P19" s="11">
        <v>-800179</v>
      </c>
      <c r="Q19" s="9">
        <v>405</v>
      </c>
      <c r="R19" s="9">
        <v>222</v>
      </c>
      <c r="S19" s="9"/>
      <c r="T19" s="11">
        <v>-132360</v>
      </c>
      <c r="U19" s="9" t="s">
        <v>115</v>
      </c>
      <c r="V19" s="9" t="s">
        <v>116</v>
      </c>
      <c r="W19" s="12" t="s">
        <v>117</v>
      </c>
      <c r="X19" s="9"/>
      <c r="Y19" s="9"/>
      <c r="Z19" s="11">
        <v>77750</v>
      </c>
      <c r="AA19" s="11">
        <v>124221.1088295688</v>
      </c>
      <c r="AB19" s="11">
        <v>124221.1088295688</v>
      </c>
    </row>
    <row r="20" spans="1:28" x14ac:dyDescent="0.25">
      <c r="A20" s="9">
        <v>19</v>
      </c>
      <c r="B20" s="10">
        <v>45827</v>
      </c>
      <c r="C20" s="10" t="s">
        <v>1749</v>
      </c>
      <c r="D20" s="9" t="s">
        <v>44</v>
      </c>
      <c r="E20" s="9" t="s">
        <v>1763</v>
      </c>
      <c r="F20" s="10" t="s">
        <v>1748</v>
      </c>
      <c r="G20" s="9" t="s">
        <v>36</v>
      </c>
      <c r="H20" s="9" t="s">
        <v>1764</v>
      </c>
      <c r="I20" s="9" t="s">
        <v>38</v>
      </c>
      <c r="J20" s="9">
        <v>0.55000000000000004</v>
      </c>
      <c r="K20" s="9">
        <v>139.5</v>
      </c>
      <c r="L20" s="9">
        <v>48.1</v>
      </c>
      <c r="M20" s="9">
        <v>42.3</v>
      </c>
      <c r="N20" s="11">
        <v>19400000</v>
      </c>
      <c r="O20" s="11">
        <v>35000000</v>
      </c>
      <c r="P20" s="11">
        <v>-5131661</v>
      </c>
      <c r="Q20" s="9">
        <v>335</v>
      </c>
      <c r="R20" s="9">
        <v>84</v>
      </c>
      <c r="S20" s="9"/>
      <c r="T20" s="11">
        <v>-3910430</v>
      </c>
      <c r="U20" s="9" t="s">
        <v>118</v>
      </c>
      <c r="V20" s="9" t="s">
        <v>119</v>
      </c>
      <c r="W20" s="12" t="s">
        <v>120</v>
      </c>
      <c r="X20" s="9" t="s">
        <v>121</v>
      </c>
      <c r="Y20" s="9"/>
      <c r="Z20" s="11">
        <v>93314</v>
      </c>
      <c r="AA20" s="11">
        <v>1602889.801505818</v>
      </c>
      <c r="AB20" s="11">
        <v>415286.64468993357</v>
      </c>
    </row>
    <row r="21" spans="1:28" x14ac:dyDescent="0.25">
      <c r="A21" s="9">
        <v>20</v>
      </c>
      <c r="B21" s="10">
        <v>45827</v>
      </c>
      <c r="C21" s="10" t="s">
        <v>1749</v>
      </c>
      <c r="D21" s="9" t="s">
        <v>44</v>
      </c>
      <c r="E21" s="9" t="s">
        <v>1763</v>
      </c>
      <c r="F21" s="10" t="s">
        <v>1753</v>
      </c>
      <c r="G21" s="9" t="s">
        <v>36</v>
      </c>
      <c r="H21" s="9" t="s">
        <v>1764</v>
      </c>
      <c r="I21" s="9" t="s">
        <v>38</v>
      </c>
      <c r="J21" s="9">
        <v>0.37</v>
      </c>
      <c r="K21" s="9">
        <v>211.4</v>
      </c>
      <c r="L21" s="9">
        <v>121.4</v>
      </c>
      <c r="M21" s="9">
        <v>39.4</v>
      </c>
      <c r="N21" s="11">
        <v>5500000</v>
      </c>
      <c r="O21" s="11">
        <v>15000000</v>
      </c>
      <c r="P21" s="11">
        <v>-1638701</v>
      </c>
      <c r="Q21" s="9">
        <v>335</v>
      </c>
      <c r="R21" s="9">
        <v>33</v>
      </c>
      <c r="S21" s="9"/>
      <c r="T21" s="11">
        <v>-1292476</v>
      </c>
      <c r="U21" s="9" t="s">
        <v>122</v>
      </c>
      <c r="V21" s="9" t="s">
        <v>123</v>
      </c>
      <c r="W21" s="12" t="s">
        <v>124</v>
      </c>
      <c r="X21" s="9" t="s">
        <v>125</v>
      </c>
      <c r="Y21" s="9"/>
      <c r="Z21" s="11">
        <v>66770</v>
      </c>
      <c r="AA21" s="11">
        <v>656348.39151266264</v>
      </c>
      <c r="AB21" s="11">
        <v>319656.77488960262</v>
      </c>
    </row>
    <row r="22" spans="1:28" x14ac:dyDescent="0.25">
      <c r="A22" s="9">
        <v>21</v>
      </c>
      <c r="B22" s="10">
        <v>45827</v>
      </c>
      <c r="C22" s="10" t="s">
        <v>1749</v>
      </c>
      <c r="D22" s="9" t="s">
        <v>44</v>
      </c>
      <c r="E22" s="9" t="s">
        <v>1763</v>
      </c>
      <c r="F22" s="10" t="s">
        <v>1748</v>
      </c>
      <c r="G22" s="9" t="s">
        <v>79</v>
      </c>
      <c r="H22" s="9" t="s">
        <v>1764</v>
      </c>
      <c r="I22" s="9" t="s">
        <v>38</v>
      </c>
      <c r="J22" s="9">
        <v>1.5</v>
      </c>
      <c r="K22" s="9">
        <v>139.19999999999999</v>
      </c>
      <c r="L22" s="9">
        <v>63.2</v>
      </c>
      <c r="M22" s="9">
        <v>32.700000000000003</v>
      </c>
      <c r="N22" s="11">
        <v>15000000</v>
      </c>
      <c r="O22" s="11">
        <v>10000000</v>
      </c>
      <c r="P22" s="11">
        <v>-304114</v>
      </c>
      <c r="Q22" s="9">
        <v>335</v>
      </c>
      <c r="R22" s="9">
        <v>230</v>
      </c>
      <c r="S22" s="9"/>
      <c r="T22" s="11">
        <v>640136</v>
      </c>
      <c r="U22" s="9" t="s">
        <v>126</v>
      </c>
      <c r="V22" s="9" t="s">
        <v>127</v>
      </c>
      <c r="W22" s="12" t="s">
        <v>128</v>
      </c>
      <c r="X22" s="9"/>
      <c r="Y22" s="9"/>
      <c r="Z22" s="11">
        <v>94800</v>
      </c>
      <c r="AA22" s="11">
        <v>1227275.838466804</v>
      </c>
      <c r="AB22" s="11">
        <v>309025.97494936752</v>
      </c>
    </row>
    <row r="23" spans="1:28" x14ac:dyDescent="0.25">
      <c r="A23" s="9">
        <v>22</v>
      </c>
      <c r="B23" s="10">
        <v>45870</v>
      </c>
      <c r="C23" s="10" t="s">
        <v>1747</v>
      </c>
      <c r="D23" s="9" t="s">
        <v>44</v>
      </c>
      <c r="E23" s="9" t="s">
        <v>1764</v>
      </c>
      <c r="F23" s="10" t="s">
        <v>1749</v>
      </c>
      <c r="G23" s="9" t="s">
        <v>44</v>
      </c>
      <c r="H23" s="9" t="s">
        <v>1763</v>
      </c>
      <c r="I23" s="9" t="s">
        <v>38</v>
      </c>
      <c r="J23" s="9">
        <v>5.3</v>
      </c>
      <c r="K23" s="9">
        <v>2</v>
      </c>
      <c r="L23" s="9">
        <v>16.100000000000001</v>
      </c>
      <c r="M23" s="9">
        <v>203</v>
      </c>
      <c r="N23" s="11">
        <v>212100000</v>
      </c>
      <c r="O23" s="11">
        <v>40000000</v>
      </c>
      <c r="P23" s="11">
        <v>-1786498</v>
      </c>
      <c r="Q23" s="9">
        <v>52</v>
      </c>
      <c r="R23" s="9">
        <v>326</v>
      </c>
      <c r="S23" s="9"/>
      <c r="T23" s="11">
        <v>905046</v>
      </c>
      <c r="U23" s="9" t="s">
        <v>129</v>
      </c>
      <c r="V23" s="9" t="s">
        <v>130</v>
      </c>
      <c r="W23" s="12" t="s">
        <v>131</v>
      </c>
      <c r="X23" s="9"/>
      <c r="Y23" s="9"/>
      <c r="Z23" s="11">
        <v>341481</v>
      </c>
      <c r="AA23" s="11">
        <v>881944.31211498845</v>
      </c>
      <c r="AB23" s="11">
        <v>1349308.210154312</v>
      </c>
    </row>
    <row r="24" spans="1:28" x14ac:dyDescent="0.25">
      <c r="A24" s="9">
        <v>23</v>
      </c>
      <c r="B24" s="10">
        <v>45870</v>
      </c>
      <c r="C24" s="10" t="s">
        <v>1753</v>
      </c>
      <c r="D24" s="9" t="s">
        <v>36</v>
      </c>
      <c r="E24" s="9" t="s">
        <v>1764</v>
      </c>
      <c r="F24" s="10" t="s">
        <v>1750</v>
      </c>
      <c r="G24" s="9" t="s">
        <v>63</v>
      </c>
      <c r="H24" s="9" t="s">
        <v>1763</v>
      </c>
      <c r="I24" s="9" t="s">
        <v>38</v>
      </c>
      <c r="J24" s="9">
        <v>0.83</v>
      </c>
      <c r="K24" s="9">
        <v>49.3</v>
      </c>
      <c r="L24" s="9">
        <v>34.6</v>
      </c>
      <c r="M24" s="9">
        <v>166.4</v>
      </c>
      <c r="N24" s="11">
        <v>15000000</v>
      </c>
      <c r="O24" s="11">
        <v>18200000</v>
      </c>
      <c r="P24" s="11">
        <v>-1612015</v>
      </c>
      <c r="Q24" s="9">
        <v>25</v>
      </c>
      <c r="R24" s="9">
        <v>61</v>
      </c>
      <c r="S24" s="9"/>
      <c r="T24" s="11">
        <v>-1341091</v>
      </c>
      <c r="U24" s="9" t="s">
        <v>132</v>
      </c>
      <c r="V24" s="9" t="s">
        <v>133</v>
      </c>
      <c r="W24" s="12" t="s">
        <v>134</v>
      </c>
      <c r="X24" s="9" t="s">
        <v>135</v>
      </c>
      <c r="Y24" s="9"/>
      <c r="Z24" s="11">
        <v>51900</v>
      </c>
      <c r="AA24" s="11">
        <v>359935.77002053388</v>
      </c>
      <c r="AB24" s="11">
        <v>359935.77002053388</v>
      </c>
    </row>
    <row r="25" spans="1:28" x14ac:dyDescent="0.25">
      <c r="A25" s="9">
        <v>24</v>
      </c>
      <c r="B25" s="10">
        <v>45870</v>
      </c>
      <c r="C25" s="10" t="s">
        <v>1749</v>
      </c>
      <c r="D25" s="9" t="s">
        <v>44</v>
      </c>
      <c r="E25" s="9" t="s">
        <v>1763</v>
      </c>
      <c r="F25" s="10" t="s">
        <v>1753</v>
      </c>
      <c r="G25" s="9" t="s">
        <v>36</v>
      </c>
      <c r="H25" s="9" t="s">
        <v>1764</v>
      </c>
      <c r="I25" s="9" t="s">
        <v>38</v>
      </c>
      <c r="J25" s="9">
        <v>0.37</v>
      </c>
      <c r="K25" s="9">
        <v>222.8</v>
      </c>
      <c r="L25" s="9">
        <v>145.69999999999999</v>
      </c>
      <c r="M25" s="9">
        <v>33.4</v>
      </c>
      <c r="N25" s="11">
        <v>5600000</v>
      </c>
      <c r="O25" s="11">
        <v>15000000</v>
      </c>
      <c r="P25" s="11">
        <v>-1510218</v>
      </c>
      <c r="Q25" s="9">
        <v>326</v>
      </c>
      <c r="R25" s="9">
        <v>25</v>
      </c>
      <c r="S25" s="9"/>
      <c r="T25" s="11">
        <v>-1130722</v>
      </c>
      <c r="U25" s="9" t="s">
        <v>136</v>
      </c>
      <c r="V25" s="9" t="s">
        <v>137</v>
      </c>
      <c r="W25" s="12" t="s">
        <v>138</v>
      </c>
      <c r="X25" s="9" t="s">
        <v>139</v>
      </c>
      <c r="Y25" s="9"/>
      <c r="Z25" s="11">
        <v>81592</v>
      </c>
      <c r="AA25" s="11">
        <v>673712.85420944542</v>
      </c>
      <c r="AB25" s="11">
        <v>334802.1609080261</v>
      </c>
    </row>
    <row r="26" spans="1:28" x14ac:dyDescent="0.25">
      <c r="A26" s="9">
        <v>25</v>
      </c>
      <c r="B26" s="10">
        <v>45901</v>
      </c>
      <c r="C26" s="10" t="s">
        <v>1754</v>
      </c>
      <c r="D26" s="9" t="s">
        <v>44</v>
      </c>
      <c r="E26" s="9" t="s">
        <v>1764</v>
      </c>
      <c r="F26" s="10" t="s">
        <v>1752</v>
      </c>
      <c r="G26" s="9" t="s">
        <v>44</v>
      </c>
      <c r="H26" s="9" t="s">
        <v>1763</v>
      </c>
      <c r="I26" s="9" t="s">
        <v>38</v>
      </c>
      <c r="J26" s="9">
        <v>0.98</v>
      </c>
      <c r="K26" s="9">
        <v>18.3</v>
      </c>
      <c r="L26" s="9">
        <v>44</v>
      </c>
      <c r="M26" s="9">
        <v>362.7</v>
      </c>
      <c r="N26" s="11">
        <v>49200000</v>
      </c>
      <c r="O26" s="11">
        <v>50000000</v>
      </c>
      <c r="P26" s="11">
        <v>-1855370</v>
      </c>
      <c r="Q26" s="9">
        <v>269</v>
      </c>
      <c r="R26" s="9">
        <v>325</v>
      </c>
      <c r="S26" s="9"/>
      <c r="T26" s="11">
        <v>2517701</v>
      </c>
      <c r="U26" s="9" t="s">
        <v>140</v>
      </c>
      <c r="V26" s="9" t="s">
        <v>141</v>
      </c>
      <c r="W26" s="12" t="s">
        <v>142</v>
      </c>
      <c r="X26" s="9"/>
      <c r="Y26" s="9"/>
      <c r="Z26" s="11">
        <v>216480</v>
      </c>
      <c r="AA26" s="11">
        <v>1447130.8966461329</v>
      </c>
      <c r="AB26" s="11">
        <v>2428430.936295717</v>
      </c>
    </row>
    <row r="27" spans="1:28" x14ac:dyDescent="0.25">
      <c r="A27" s="9">
        <v>26</v>
      </c>
      <c r="B27" s="10">
        <v>45901</v>
      </c>
      <c r="C27" s="10" t="s">
        <v>1754</v>
      </c>
      <c r="D27" s="9" t="s">
        <v>44</v>
      </c>
      <c r="E27" s="9" t="s">
        <v>1764</v>
      </c>
      <c r="F27" s="10" t="s">
        <v>1749</v>
      </c>
      <c r="G27" s="9" t="s">
        <v>44</v>
      </c>
      <c r="H27" s="9" t="s">
        <v>1763</v>
      </c>
      <c r="I27" s="9" t="s">
        <v>38</v>
      </c>
      <c r="J27" s="9">
        <v>0.99</v>
      </c>
      <c r="K27" s="9">
        <v>8.6999999999999993</v>
      </c>
      <c r="L27" s="9">
        <v>60.4</v>
      </c>
      <c r="M27" s="9">
        <v>236.5</v>
      </c>
      <c r="N27" s="11">
        <v>39500000</v>
      </c>
      <c r="O27" s="11">
        <v>40000000</v>
      </c>
      <c r="P27" s="11">
        <v>-1616787</v>
      </c>
      <c r="Q27" s="9">
        <v>269</v>
      </c>
      <c r="R27" s="9">
        <v>314</v>
      </c>
      <c r="S27" s="9"/>
      <c r="T27" s="11">
        <v>1235997</v>
      </c>
      <c r="U27" s="9" t="s">
        <v>143</v>
      </c>
      <c r="V27" s="9" t="s">
        <v>144</v>
      </c>
      <c r="W27" s="12" t="s">
        <v>145</v>
      </c>
      <c r="X27" s="9"/>
      <c r="Y27" s="9"/>
      <c r="Z27" s="11">
        <v>238580</v>
      </c>
      <c r="AA27" s="11">
        <v>302603.28542094398</v>
      </c>
      <c r="AB27" s="11">
        <v>1215220.1302461941</v>
      </c>
    </row>
    <row r="28" spans="1:28" x14ac:dyDescent="0.25">
      <c r="A28" s="9">
        <v>27</v>
      </c>
      <c r="B28" s="10">
        <v>45901</v>
      </c>
      <c r="C28" s="10" t="s">
        <v>1749</v>
      </c>
      <c r="D28" s="9" t="s">
        <v>44</v>
      </c>
      <c r="E28" s="9" t="s">
        <v>1763</v>
      </c>
      <c r="F28" s="10" t="s">
        <v>1758</v>
      </c>
      <c r="G28" s="9" t="s">
        <v>44</v>
      </c>
      <c r="H28" s="9" t="s">
        <v>1764</v>
      </c>
      <c r="I28" s="9" t="s">
        <v>38</v>
      </c>
      <c r="J28" s="9">
        <v>1.02</v>
      </c>
      <c r="K28" s="9">
        <v>38</v>
      </c>
      <c r="L28" s="9">
        <v>26.8</v>
      </c>
      <c r="M28" s="9">
        <v>74.3</v>
      </c>
      <c r="N28" s="11">
        <v>25600000</v>
      </c>
      <c r="O28" s="11">
        <v>25000000</v>
      </c>
      <c r="P28" s="11">
        <v>-105344</v>
      </c>
      <c r="Q28" s="9">
        <v>314</v>
      </c>
      <c r="R28" s="9">
        <v>276</v>
      </c>
      <c r="S28" s="9"/>
      <c r="T28" s="11">
        <v>1720438</v>
      </c>
      <c r="U28" s="9" t="s">
        <v>146</v>
      </c>
      <c r="V28" s="9" t="s">
        <v>147</v>
      </c>
      <c r="W28" s="12" t="s">
        <v>148</v>
      </c>
      <c r="X28" s="9" t="s">
        <v>149</v>
      </c>
      <c r="Y28" s="9"/>
      <c r="Z28" s="11">
        <v>68608</v>
      </c>
      <c r="AA28" s="11">
        <v>835352.88158795284</v>
      </c>
      <c r="AB28" s="11">
        <v>719473.68107772153</v>
      </c>
    </row>
    <row r="29" spans="1:28" x14ac:dyDescent="0.25">
      <c r="A29" s="9">
        <v>28</v>
      </c>
      <c r="B29" s="10">
        <v>45925</v>
      </c>
      <c r="C29" s="10" t="s">
        <v>1749</v>
      </c>
      <c r="D29" s="9" t="s">
        <v>44</v>
      </c>
      <c r="E29" s="9" t="s">
        <v>1763</v>
      </c>
      <c r="F29" s="10" t="s">
        <v>1749</v>
      </c>
      <c r="G29" s="9" t="s">
        <v>36</v>
      </c>
      <c r="H29" s="9" t="s">
        <v>1764</v>
      </c>
      <c r="I29" s="9" t="s">
        <v>38</v>
      </c>
      <c r="J29" s="9">
        <v>0.34</v>
      </c>
      <c r="K29" s="9">
        <v>127.2</v>
      </c>
      <c r="L29" s="9">
        <v>43.8</v>
      </c>
      <c r="M29" s="9">
        <v>30.6</v>
      </c>
      <c r="N29" s="11">
        <v>11800000</v>
      </c>
      <c r="O29" s="11">
        <v>35000000</v>
      </c>
      <c r="P29" s="11">
        <v>-4605086</v>
      </c>
      <c r="Q29" s="9">
        <v>297</v>
      </c>
      <c r="R29" s="9">
        <v>50</v>
      </c>
      <c r="S29" s="9"/>
      <c r="T29" s="11">
        <v>-3712898</v>
      </c>
      <c r="U29" s="9" t="s">
        <v>150</v>
      </c>
      <c r="V29" s="9" t="s">
        <v>151</v>
      </c>
      <c r="W29" s="12" t="s">
        <v>152</v>
      </c>
      <c r="X29" s="9"/>
      <c r="Y29" s="9"/>
      <c r="Z29" s="11">
        <v>51683.999999999993</v>
      </c>
      <c r="AA29" s="11">
        <v>743152.96372347709</v>
      </c>
      <c r="AB29" s="11">
        <v>39799.847913608297</v>
      </c>
    </row>
    <row r="30" spans="1:28" x14ac:dyDescent="0.25">
      <c r="A30" s="9">
        <v>29</v>
      </c>
      <c r="B30" s="10">
        <v>45940</v>
      </c>
      <c r="C30" s="10" t="s">
        <v>1755</v>
      </c>
      <c r="D30" s="9" t="s">
        <v>90</v>
      </c>
      <c r="E30" s="9" t="s">
        <v>1764</v>
      </c>
      <c r="F30" s="10" t="s">
        <v>1759</v>
      </c>
      <c r="G30" s="9" t="s">
        <v>55</v>
      </c>
      <c r="H30" s="9" t="s">
        <v>1763</v>
      </c>
      <c r="I30" s="9" t="s">
        <v>38</v>
      </c>
      <c r="J30" s="9">
        <v>0.35</v>
      </c>
      <c r="K30" s="9">
        <v>539.1</v>
      </c>
      <c r="L30" s="9">
        <v>109.2</v>
      </c>
      <c r="M30" s="9">
        <v>621.4</v>
      </c>
      <c r="N30" s="11">
        <v>5200000</v>
      </c>
      <c r="O30" s="11">
        <v>15000000</v>
      </c>
      <c r="P30" s="11">
        <v>-942860</v>
      </c>
      <c r="Q30" s="9">
        <v>32</v>
      </c>
      <c r="R30" s="9">
        <v>216</v>
      </c>
      <c r="S30" s="9"/>
      <c r="T30" s="11">
        <v>2083380</v>
      </c>
      <c r="U30" s="9" t="s">
        <v>153</v>
      </c>
      <c r="V30" s="9" t="s">
        <v>153</v>
      </c>
      <c r="W30" s="12" t="s">
        <v>154</v>
      </c>
      <c r="X30" s="9"/>
      <c r="Y30" s="9"/>
      <c r="Z30" s="11">
        <v>56784.000000000007</v>
      </c>
      <c r="AA30" s="11">
        <v>1596336.536618754</v>
      </c>
      <c r="AB30" s="11">
        <v>1596336.536618754</v>
      </c>
    </row>
    <row r="31" spans="1:28" x14ac:dyDescent="0.25">
      <c r="A31" s="9">
        <v>30</v>
      </c>
      <c r="B31" s="10">
        <v>45940</v>
      </c>
      <c r="C31" s="10" t="s">
        <v>1747</v>
      </c>
      <c r="D31" s="9" t="s">
        <v>90</v>
      </c>
      <c r="E31" s="9" t="s">
        <v>1764</v>
      </c>
      <c r="F31" s="10" t="s">
        <v>1759</v>
      </c>
      <c r="G31" s="9" t="s">
        <v>55</v>
      </c>
      <c r="H31" s="9" t="s">
        <v>1763</v>
      </c>
      <c r="I31" s="9" t="s">
        <v>38</v>
      </c>
      <c r="J31" s="9">
        <v>0.35</v>
      </c>
      <c r="K31" s="9">
        <v>541.20000000000005</v>
      </c>
      <c r="L31" s="9">
        <v>111.3</v>
      </c>
      <c r="M31" s="9">
        <v>609.20000000000005</v>
      </c>
      <c r="N31" s="11">
        <v>5300000</v>
      </c>
      <c r="O31" s="11">
        <v>15000000</v>
      </c>
      <c r="P31" s="11">
        <v>-931206</v>
      </c>
      <c r="Q31" s="9">
        <v>24</v>
      </c>
      <c r="R31" s="9">
        <v>216</v>
      </c>
      <c r="S31" s="9"/>
      <c r="T31" s="11">
        <v>2095035</v>
      </c>
      <c r="U31" s="9" t="s">
        <v>155</v>
      </c>
      <c r="V31" s="9" t="s">
        <v>155</v>
      </c>
      <c r="W31" s="12" t="s">
        <v>156</v>
      </c>
      <c r="X31" s="9"/>
      <c r="Y31" s="9"/>
      <c r="Z31" s="11">
        <v>58988.999999999993</v>
      </c>
      <c r="AA31" s="11">
        <v>1629407.1457905539</v>
      </c>
      <c r="AB31" s="11">
        <v>1629407.1457905539</v>
      </c>
    </row>
    <row r="32" spans="1:28" x14ac:dyDescent="0.25">
      <c r="A32" s="9">
        <v>31</v>
      </c>
      <c r="B32" s="10">
        <v>45940</v>
      </c>
      <c r="C32" s="10" t="s">
        <v>1747</v>
      </c>
      <c r="D32" s="9" t="s">
        <v>90</v>
      </c>
      <c r="E32" s="9" t="s">
        <v>1764</v>
      </c>
      <c r="F32" s="10" t="s">
        <v>1760</v>
      </c>
      <c r="G32" s="9" t="s">
        <v>80</v>
      </c>
      <c r="H32" s="9" t="s">
        <v>1763</v>
      </c>
      <c r="I32" s="9" t="s">
        <v>38</v>
      </c>
      <c r="J32" s="9">
        <v>2.36</v>
      </c>
      <c r="K32" s="9">
        <v>187.2</v>
      </c>
      <c r="L32" s="9">
        <v>61.9</v>
      </c>
      <c r="M32" s="9">
        <v>306.10000000000002</v>
      </c>
      <c r="N32" s="11">
        <v>11800000</v>
      </c>
      <c r="O32" s="11">
        <v>5000000</v>
      </c>
      <c r="P32" s="11">
        <v>-339252</v>
      </c>
      <c r="Q32" s="9">
        <v>24</v>
      </c>
      <c r="R32" s="9">
        <v>480</v>
      </c>
      <c r="S32" s="9"/>
      <c r="T32" s="11">
        <v>1691676</v>
      </c>
      <c r="U32" s="9" t="s">
        <v>157</v>
      </c>
      <c r="V32" s="9" t="s">
        <v>157</v>
      </c>
      <c r="W32" s="12" t="s">
        <v>158</v>
      </c>
      <c r="X32" s="9"/>
      <c r="Y32" s="9"/>
      <c r="Z32" s="11">
        <v>73042</v>
      </c>
      <c r="AA32" s="11">
        <v>1127703.655030801</v>
      </c>
      <c r="AB32" s="11">
        <v>1127703.655030801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3D5D3-3C5D-4815-9D3E-7879EC3ADE86}">
  <dimension ref="A1:F198"/>
  <sheetViews>
    <sheetView workbookViewId="0">
      <selection activeCell="F39" sqref="F39"/>
    </sheetView>
  </sheetViews>
  <sheetFormatPr defaultRowHeight="15" x14ac:dyDescent="0.25"/>
  <cols>
    <col min="1" max="1" width="18.28515625" bestFit="1" customWidth="1"/>
    <col min="3" max="3" width="10.7109375" style="31" bestFit="1" customWidth="1"/>
  </cols>
  <sheetData>
    <row r="1" spans="1:6" x14ac:dyDescent="0.25">
      <c r="A1" s="2">
        <v>45667</v>
      </c>
      <c r="B1">
        <v>1</v>
      </c>
      <c r="C1" s="31" t="s">
        <v>1782</v>
      </c>
      <c r="D1" t="s">
        <v>1783</v>
      </c>
      <c r="E1" t="s">
        <v>1784</v>
      </c>
      <c r="F1" t="s">
        <v>1785</v>
      </c>
    </row>
    <row r="2" spans="1:6" x14ac:dyDescent="0.25">
      <c r="A2" s="2">
        <v>45667</v>
      </c>
      <c r="B2">
        <v>1</v>
      </c>
      <c r="C2" s="31">
        <v>45940</v>
      </c>
      <c r="D2">
        <v>58.962000000000003</v>
      </c>
      <c r="E2">
        <f>IFERROR(VLOOKUP(C2,A:B,2, FALSE),"")</f>
        <v>1</v>
      </c>
      <c r="F2">
        <f>IF(E2=1,D2,"")</f>
        <v>58.962000000000003</v>
      </c>
    </row>
    <row r="3" spans="1:6" x14ac:dyDescent="0.25">
      <c r="A3" s="2">
        <v>45667</v>
      </c>
      <c r="B3">
        <v>1</v>
      </c>
      <c r="C3" s="31">
        <v>45939</v>
      </c>
      <c r="D3">
        <v>56.972000000000001</v>
      </c>
      <c r="E3" t="str">
        <f t="shared" ref="E3:E66" si="0">IFERROR(VLOOKUP(C3,A:B,2, FALSE),"")</f>
        <v/>
      </c>
      <c r="F3" t="str">
        <f t="shared" ref="F3:F66" si="1">IF(E3=1,D3,"")</f>
        <v/>
      </c>
    </row>
    <row r="4" spans="1:6" x14ac:dyDescent="0.25">
      <c r="A4" s="2">
        <v>45726</v>
      </c>
      <c r="B4">
        <v>1</v>
      </c>
      <c r="C4" s="31">
        <v>45938</v>
      </c>
      <c r="D4">
        <v>56.034999999999997</v>
      </c>
      <c r="E4" t="str">
        <f t="shared" si="0"/>
        <v/>
      </c>
      <c r="F4" t="str">
        <f t="shared" si="1"/>
        <v/>
      </c>
    </row>
    <row r="5" spans="1:6" x14ac:dyDescent="0.25">
      <c r="A5" s="2">
        <v>45726</v>
      </c>
      <c r="B5">
        <v>1</v>
      </c>
      <c r="C5" s="31">
        <v>45937</v>
      </c>
      <c r="D5">
        <v>56.481000000000002</v>
      </c>
      <c r="E5" t="str">
        <f t="shared" si="0"/>
        <v/>
      </c>
      <c r="F5" t="str">
        <f t="shared" si="1"/>
        <v/>
      </c>
    </row>
    <row r="6" spans="1:6" x14ac:dyDescent="0.25">
      <c r="A6" s="2">
        <v>45726</v>
      </c>
      <c r="B6">
        <v>1</v>
      </c>
      <c r="C6" s="31">
        <v>45936</v>
      </c>
      <c r="D6">
        <v>55.719000000000001</v>
      </c>
      <c r="E6" t="str">
        <f t="shared" si="0"/>
        <v/>
      </c>
      <c r="F6" t="str">
        <f t="shared" si="1"/>
        <v/>
      </c>
    </row>
    <row r="7" spans="1:6" x14ac:dyDescent="0.25">
      <c r="A7" s="2">
        <v>45737</v>
      </c>
      <c r="B7">
        <v>1</v>
      </c>
      <c r="C7" s="31">
        <v>45933</v>
      </c>
      <c r="D7">
        <v>54.923000000000002</v>
      </c>
      <c r="E7" t="str">
        <f t="shared" si="0"/>
        <v/>
      </c>
      <c r="F7" t="str">
        <f t="shared" si="1"/>
        <v/>
      </c>
    </row>
    <row r="8" spans="1:6" x14ac:dyDescent="0.25">
      <c r="A8" s="2">
        <v>45737</v>
      </c>
      <c r="B8">
        <v>1</v>
      </c>
      <c r="C8" s="31">
        <v>45932</v>
      </c>
      <c r="D8">
        <v>54.854999999999997</v>
      </c>
      <c r="E8" t="str">
        <f t="shared" si="0"/>
        <v/>
      </c>
      <c r="F8" t="str">
        <f t="shared" si="1"/>
        <v/>
      </c>
    </row>
    <row r="9" spans="1:6" x14ac:dyDescent="0.25">
      <c r="A9" s="2">
        <v>45737</v>
      </c>
      <c r="B9">
        <v>1</v>
      </c>
      <c r="C9" s="31">
        <v>45931</v>
      </c>
      <c r="D9">
        <v>55.332999999999998</v>
      </c>
      <c r="E9" t="str">
        <f t="shared" si="0"/>
        <v/>
      </c>
      <c r="F9" t="str">
        <f t="shared" si="1"/>
        <v/>
      </c>
    </row>
    <row r="10" spans="1:6" x14ac:dyDescent="0.25">
      <c r="A10" s="2">
        <v>45755</v>
      </c>
      <c r="B10">
        <v>1</v>
      </c>
      <c r="C10" s="31">
        <v>45930</v>
      </c>
      <c r="D10">
        <v>55.984999999999999</v>
      </c>
      <c r="E10" t="str">
        <f t="shared" si="0"/>
        <v/>
      </c>
      <c r="F10" t="str">
        <f t="shared" si="1"/>
        <v/>
      </c>
    </row>
    <row r="11" spans="1:6" x14ac:dyDescent="0.25">
      <c r="A11" s="2">
        <v>45755</v>
      </c>
      <c r="B11">
        <v>1</v>
      </c>
      <c r="C11" s="31">
        <v>45929</v>
      </c>
      <c r="D11">
        <v>55.997999999999998</v>
      </c>
      <c r="E11" t="str">
        <f t="shared" si="0"/>
        <v/>
      </c>
      <c r="F11" t="str">
        <f t="shared" si="1"/>
        <v/>
      </c>
    </row>
    <row r="12" spans="1:6" x14ac:dyDescent="0.25">
      <c r="A12" s="2">
        <v>45755</v>
      </c>
      <c r="B12">
        <v>1</v>
      </c>
      <c r="C12" s="31">
        <v>45926</v>
      </c>
      <c r="D12">
        <v>56.4</v>
      </c>
      <c r="E12" t="str">
        <f t="shared" si="0"/>
        <v/>
      </c>
      <c r="F12" t="str">
        <f t="shared" si="1"/>
        <v/>
      </c>
    </row>
    <row r="13" spans="1:6" x14ac:dyDescent="0.25">
      <c r="A13" s="2">
        <v>45761</v>
      </c>
      <c r="B13">
        <v>1</v>
      </c>
      <c r="C13" s="31">
        <v>45925</v>
      </c>
      <c r="D13">
        <v>56.823</v>
      </c>
      <c r="E13">
        <f t="shared" si="0"/>
        <v>1</v>
      </c>
      <c r="F13">
        <f t="shared" si="1"/>
        <v>56.823</v>
      </c>
    </row>
    <row r="14" spans="1:6" x14ac:dyDescent="0.25">
      <c r="A14" s="2">
        <v>45761</v>
      </c>
      <c r="B14">
        <v>1</v>
      </c>
      <c r="C14" s="31">
        <v>45924</v>
      </c>
      <c r="D14">
        <v>56.045000000000002</v>
      </c>
      <c r="E14" t="str">
        <f t="shared" si="0"/>
        <v/>
      </c>
      <c r="F14" t="str">
        <f t="shared" si="1"/>
        <v/>
      </c>
    </row>
    <row r="15" spans="1:6" x14ac:dyDescent="0.25">
      <c r="A15" s="2">
        <v>45761</v>
      </c>
      <c r="B15">
        <v>1</v>
      </c>
      <c r="C15" s="31">
        <v>45923</v>
      </c>
      <c r="D15">
        <v>55.554000000000002</v>
      </c>
      <c r="E15" t="str">
        <f t="shared" si="0"/>
        <v/>
      </c>
      <c r="F15" t="str">
        <f t="shared" si="1"/>
        <v/>
      </c>
    </row>
    <row r="16" spans="1:6" x14ac:dyDescent="0.25">
      <c r="A16" s="2">
        <v>45799</v>
      </c>
      <c r="B16">
        <v>1</v>
      </c>
      <c r="C16" s="31">
        <v>45922</v>
      </c>
      <c r="D16">
        <v>56.058</v>
      </c>
      <c r="E16" t="str">
        <f t="shared" si="0"/>
        <v/>
      </c>
      <c r="F16" t="str">
        <f t="shared" si="1"/>
        <v/>
      </c>
    </row>
    <row r="17" spans="1:6" x14ac:dyDescent="0.25">
      <c r="A17" s="2">
        <v>45799</v>
      </c>
      <c r="B17">
        <v>1</v>
      </c>
      <c r="C17" s="31">
        <v>45919</v>
      </c>
      <c r="D17">
        <v>50.316000000000003</v>
      </c>
      <c r="E17" t="str">
        <f t="shared" si="0"/>
        <v/>
      </c>
      <c r="F17" t="str">
        <f t="shared" si="1"/>
        <v/>
      </c>
    </row>
    <row r="18" spans="1:6" x14ac:dyDescent="0.25">
      <c r="A18" s="2">
        <v>45799</v>
      </c>
      <c r="B18">
        <v>1</v>
      </c>
      <c r="C18" s="31">
        <v>45918</v>
      </c>
      <c r="D18">
        <v>50.07</v>
      </c>
      <c r="E18" t="str">
        <f t="shared" si="0"/>
        <v/>
      </c>
      <c r="F18" t="str">
        <f t="shared" si="1"/>
        <v/>
      </c>
    </row>
    <row r="19" spans="1:6" x14ac:dyDescent="0.25">
      <c r="A19" s="2">
        <v>45827</v>
      </c>
      <c r="B19">
        <v>1</v>
      </c>
      <c r="C19" s="31">
        <v>45917</v>
      </c>
      <c r="D19">
        <v>50.744</v>
      </c>
      <c r="E19" t="str">
        <f t="shared" si="0"/>
        <v/>
      </c>
      <c r="F19" t="str">
        <f t="shared" si="1"/>
        <v/>
      </c>
    </row>
    <row r="20" spans="1:6" x14ac:dyDescent="0.25">
      <c r="A20" s="2">
        <v>45827</v>
      </c>
      <c r="B20">
        <v>1</v>
      </c>
      <c r="C20" s="31">
        <v>45916</v>
      </c>
      <c r="D20">
        <v>50.856000000000002</v>
      </c>
      <c r="E20" t="str">
        <f t="shared" si="0"/>
        <v/>
      </c>
      <c r="F20" t="str">
        <f t="shared" si="1"/>
        <v/>
      </c>
    </row>
    <row r="21" spans="1:6" x14ac:dyDescent="0.25">
      <c r="A21" s="2">
        <v>45827</v>
      </c>
      <c r="B21">
        <v>1</v>
      </c>
      <c r="C21" s="31">
        <v>45915</v>
      </c>
      <c r="D21">
        <v>50.040999999999997</v>
      </c>
      <c r="E21" t="str">
        <f t="shared" si="0"/>
        <v/>
      </c>
      <c r="F21" t="str">
        <f t="shared" si="1"/>
        <v/>
      </c>
    </row>
    <row r="22" spans="1:6" x14ac:dyDescent="0.25">
      <c r="A22" s="2">
        <v>45870</v>
      </c>
      <c r="B22">
        <v>1</v>
      </c>
      <c r="C22" s="31">
        <v>45912</v>
      </c>
      <c r="D22">
        <v>50.905999999999999</v>
      </c>
      <c r="E22" t="str">
        <f t="shared" si="0"/>
        <v/>
      </c>
      <c r="F22" t="str">
        <f t="shared" si="1"/>
        <v/>
      </c>
    </row>
    <row r="23" spans="1:6" x14ac:dyDescent="0.25">
      <c r="A23" s="2">
        <v>45870</v>
      </c>
      <c r="B23">
        <v>1</v>
      </c>
      <c r="C23" s="31">
        <v>45911</v>
      </c>
      <c r="D23">
        <v>50.987000000000002</v>
      </c>
      <c r="E23" t="str">
        <f t="shared" si="0"/>
        <v/>
      </c>
      <c r="F23" t="str">
        <f t="shared" si="1"/>
        <v/>
      </c>
    </row>
    <row r="24" spans="1:6" x14ac:dyDescent="0.25">
      <c r="A24" s="2">
        <v>45870</v>
      </c>
      <c r="B24">
        <v>1</v>
      </c>
      <c r="C24" s="31">
        <v>45910</v>
      </c>
      <c r="D24">
        <v>52.491</v>
      </c>
      <c r="E24" t="str">
        <f t="shared" si="0"/>
        <v/>
      </c>
      <c r="F24" t="str">
        <f t="shared" si="1"/>
        <v/>
      </c>
    </row>
    <row r="25" spans="1:6" x14ac:dyDescent="0.25">
      <c r="A25" s="2">
        <v>45901</v>
      </c>
      <c r="B25">
        <v>1</v>
      </c>
      <c r="C25" s="31">
        <v>45909</v>
      </c>
      <c r="D25">
        <v>53</v>
      </c>
      <c r="E25" t="str">
        <f t="shared" si="0"/>
        <v/>
      </c>
      <c r="F25" t="str">
        <f t="shared" si="1"/>
        <v/>
      </c>
    </row>
    <row r="26" spans="1:6" x14ac:dyDescent="0.25">
      <c r="A26" s="2">
        <v>45901</v>
      </c>
      <c r="B26">
        <v>1</v>
      </c>
      <c r="C26" s="31">
        <v>45908</v>
      </c>
      <c r="D26">
        <v>53.210999999999999</v>
      </c>
      <c r="E26" t="str">
        <f t="shared" si="0"/>
        <v/>
      </c>
      <c r="F26" t="str">
        <f t="shared" si="1"/>
        <v/>
      </c>
    </row>
    <row r="27" spans="1:6" x14ac:dyDescent="0.25">
      <c r="A27" s="2">
        <v>45901</v>
      </c>
      <c r="B27">
        <v>1</v>
      </c>
      <c r="C27" s="31">
        <v>45905</v>
      </c>
      <c r="D27">
        <v>53.905000000000001</v>
      </c>
      <c r="E27" t="str">
        <f t="shared" si="0"/>
        <v/>
      </c>
      <c r="F27" t="str">
        <f t="shared" si="1"/>
        <v/>
      </c>
    </row>
    <row r="28" spans="1:6" x14ac:dyDescent="0.25">
      <c r="A28" s="2">
        <v>45925</v>
      </c>
      <c r="B28">
        <v>1</v>
      </c>
      <c r="C28" s="31">
        <v>45904</v>
      </c>
      <c r="D28">
        <v>53.954000000000001</v>
      </c>
      <c r="E28" t="str">
        <f t="shared" si="0"/>
        <v/>
      </c>
      <c r="F28" t="str">
        <f t="shared" si="1"/>
        <v/>
      </c>
    </row>
    <row r="29" spans="1:6" x14ac:dyDescent="0.25">
      <c r="A29" s="2">
        <v>45940</v>
      </c>
      <c r="B29">
        <v>1</v>
      </c>
      <c r="C29" s="31">
        <v>45903</v>
      </c>
      <c r="D29">
        <v>55.280999999999999</v>
      </c>
      <c r="E29" t="str">
        <f t="shared" si="0"/>
        <v/>
      </c>
      <c r="F29" t="str">
        <f t="shared" si="1"/>
        <v/>
      </c>
    </row>
    <row r="30" spans="1:6" x14ac:dyDescent="0.25">
      <c r="A30" s="2">
        <v>45940</v>
      </c>
      <c r="B30">
        <v>1</v>
      </c>
      <c r="C30" s="31">
        <v>45902</v>
      </c>
      <c r="D30">
        <v>56.948999999999998</v>
      </c>
      <c r="E30" t="str">
        <f t="shared" si="0"/>
        <v/>
      </c>
      <c r="F30" t="str">
        <f t="shared" si="1"/>
        <v/>
      </c>
    </row>
    <row r="31" spans="1:6" x14ac:dyDescent="0.25">
      <c r="A31" s="2">
        <v>45940</v>
      </c>
      <c r="B31">
        <v>1</v>
      </c>
      <c r="C31" s="31">
        <v>45901</v>
      </c>
      <c r="D31">
        <v>55.526000000000003</v>
      </c>
      <c r="E31">
        <f t="shared" si="0"/>
        <v>1</v>
      </c>
      <c r="F31">
        <f t="shared" si="1"/>
        <v>55.526000000000003</v>
      </c>
    </row>
    <row r="32" spans="1:6" x14ac:dyDescent="0.25">
      <c r="C32" s="31">
        <v>45898</v>
      </c>
      <c r="D32">
        <v>55.5</v>
      </c>
      <c r="E32" t="str">
        <f t="shared" si="0"/>
        <v/>
      </c>
      <c r="F32" t="str">
        <f t="shared" si="1"/>
        <v/>
      </c>
    </row>
    <row r="33" spans="3:6" x14ac:dyDescent="0.25">
      <c r="C33" s="31">
        <v>45897</v>
      </c>
      <c r="D33">
        <v>54.360999999999997</v>
      </c>
      <c r="E33" t="str">
        <f t="shared" si="0"/>
        <v/>
      </c>
      <c r="F33" t="str">
        <f t="shared" si="1"/>
        <v/>
      </c>
    </row>
    <row r="34" spans="3:6" x14ac:dyDescent="0.25">
      <c r="C34" s="31">
        <v>45896</v>
      </c>
      <c r="D34">
        <v>54.905000000000001</v>
      </c>
      <c r="E34" t="str">
        <f t="shared" si="0"/>
        <v/>
      </c>
      <c r="F34" t="str">
        <f t="shared" si="1"/>
        <v/>
      </c>
    </row>
    <row r="35" spans="3:6" x14ac:dyDescent="0.25">
      <c r="C35" s="31">
        <v>45895</v>
      </c>
      <c r="D35">
        <v>53.027000000000001</v>
      </c>
      <c r="E35" t="str">
        <f t="shared" si="0"/>
        <v/>
      </c>
      <c r="F35" t="str">
        <f t="shared" si="1"/>
        <v/>
      </c>
    </row>
    <row r="36" spans="3:6" x14ac:dyDescent="0.25">
      <c r="C36" s="31">
        <v>45891</v>
      </c>
      <c r="D36">
        <v>51.430999999999997</v>
      </c>
      <c r="E36" t="str">
        <f t="shared" si="0"/>
        <v/>
      </c>
      <c r="F36" t="str">
        <f t="shared" si="1"/>
        <v/>
      </c>
    </row>
    <row r="37" spans="3:6" x14ac:dyDescent="0.25">
      <c r="C37" s="31">
        <v>45890</v>
      </c>
      <c r="D37">
        <v>53.082999999999998</v>
      </c>
      <c r="E37" t="str">
        <f t="shared" si="0"/>
        <v/>
      </c>
      <c r="F37" t="str">
        <f t="shared" si="1"/>
        <v/>
      </c>
    </row>
    <row r="38" spans="3:6" x14ac:dyDescent="0.25">
      <c r="C38" s="31">
        <v>45889</v>
      </c>
      <c r="D38">
        <v>52.372999999999998</v>
      </c>
      <c r="E38" t="str">
        <f t="shared" si="0"/>
        <v/>
      </c>
      <c r="F38" t="str">
        <f t="shared" si="1"/>
        <v/>
      </c>
    </row>
    <row r="39" spans="3:6" x14ac:dyDescent="0.25">
      <c r="C39" s="31">
        <v>45888</v>
      </c>
      <c r="D39">
        <v>51.503999999999998</v>
      </c>
      <c r="E39" t="str">
        <f t="shared" si="0"/>
        <v/>
      </c>
      <c r="F39" t="str">
        <f t="shared" si="1"/>
        <v/>
      </c>
    </row>
    <row r="40" spans="3:6" x14ac:dyDescent="0.25">
      <c r="C40" s="31">
        <v>45887</v>
      </c>
      <c r="D40">
        <v>51.526000000000003</v>
      </c>
      <c r="E40" t="str">
        <f t="shared" si="0"/>
        <v/>
      </c>
      <c r="F40" t="str">
        <f t="shared" si="1"/>
        <v/>
      </c>
    </row>
    <row r="41" spans="3:6" x14ac:dyDescent="0.25">
      <c r="C41" s="31">
        <v>45884</v>
      </c>
      <c r="D41">
        <v>51.594999999999999</v>
      </c>
      <c r="E41" t="str">
        <f t="shared" si="0"/>
        <v/>
      </c>
      <c r="F41" t="str">
        <f t="shared" si="1"/>
        <v/>
      </c>
    </row>
    <row r="42" spans="3:6" x14ac:dyDescent="0.25">
      <c r="C42" s="31">
        <v>45883</v>
      </c>
      <c r="D42">
        <v>51.798000000000002</v>
      </c>
      <c r="E42" t="str">
        <f t="shared" si="0"/>
        <v/>
      </c>
      <c r="F42" t="str">
        <f t="shared" si="1"/>
        <v/>
      </c>
    </row>
    <row r="43" spans="3:6" x14ac:dyDescent="0.25">
      <c r="C43" s="31">
        <v>45882</v>
      </c>
      <c r="D43">
        <v>51.792999999999999</v>
      </c>
      <c r="E43" t="str">
        <f t="shared" si="0"/>
        <v/>
      </c>
      <c r="F43" t="str">
        <f t="shared" si="1"/>
        <v/>
      </c>
    </row>
    <row r="44" spans="3:6" x14ac:dyDescent="0.25">
      <c r="C44" s="31">
        <v>45881</v>
      </c>
      <c r="D44">
        <v>52.584000000000003</v>
      </c>
      <c r="E44" t="str">
        <f t="shared" si="0"/>
        <v/>
      </c>
      <c r="F44" t="str">
        <f t="shared" si="1"/>
        <v/>
      </c>
    </row>
    <row r="45" spans="3:6" x14ac:dyDescent="0.25">
      <c r="C45" s="31">
        <v>45880</v>
      </c>
      <c r="D45">
        <v>53.359000000000002</v>
      </c>
      <c r="E45" t="str">
        <f t="shared" si="0"/>
        <v/>
      </c>
      <c r="F45" t="str">
        <f t="shared" si="1"/>
        <v/>
      </c>
    </row>
    <row r="46" spans="3:6" x14ac:dyDescent="0.25">
      <c r="C46" s="31">
        <v>45877</v>
      </c>
      <c r="D46">
        <v>53.335000000000001</v>
      </c>
      <c r="E46" t="str">
        <f t="shared" si="0"/>
        <v/>
      </c>
      <c r="F46" t="str">
        <f t="shared" si="1"/>
        <v/>
      </c>
    </row>
    <row r="47" spans="3:6" x14ac:dyDescent="0.25">
      <c r="C47" s="31">
        <v>45876</v>
      </c>
      <c r="D47">
        <v>54.295999999999999</v>
      </c>
      <c r="E47" t="str">
        <f t="shared" si="0"/>
        <v/>
      </c>
      <c r="F47" t="str">
        <f t="shared" si="1"/>
        <v/>
      </c>
    </row>
    <row r="48" spans="3:6" x14ac:dyDescent="0.25">
      <c r="C48" s="31">
        <v>45875</v>
      </c>
      <c r="D48">
        <v>55.249000000000002</v>
      </c>
      <c r="E48" t="str">
        <f t="shared" si="0"/>
        <v/>
      </c>
      <c r="F48" t="str">
        <f t="shared" si="1"/>
        <v/>
      </c>
    </row>
    <row r="49" spans="3:6" x14ac:dyDescent="0.25">
      <c r="C49" s="31">
        <v>45874</v>
      </c>
      <c r="D49">
        <v>55.704000000000001</v>
      </c>
      <c r="E49" t="str">
        <f t="shared" si="0"/>
        <v/>
      </c>
      <c r="F49" t="str">
        <f t="shared" si="1"/>
        <v/>
      </c>
    </row>
    <row r="50" spans="3:6" x14ac:dyDescent="0.25">
      <c r="C50" s="31">
        <v>45873</v>
      </c>
      <c r="D50">
        <v>55.597000000000001</v>
      </c>
      <c r="E50" t="str">
        <f t="shared" si="0"/>
        <v/>
      </c>
      <c r="F50" t="str">
        <f t="shared" si="1"/>
        <v/>
      </c>
    </row>
    <row r="51" spans="3:6" x14ac:dyDescent="0.25">
      <c r="C51" s="31">
        <v>45870</v>
      </c>
      <c r="D51">
        <v>56.274999999999999</v>
      </c>
      <c r="E51">
        <f t="shared" si="0"/>
        <v>1</v>
      </c>
      <c r="F51">
        <f t="shared" si="1"/>
        <v>56.274999999999999</v>
      </c>
    </row>
    <row r="52" spans="3:6" x14ac:dyDescent="0.25">
      <c r="C52" s="31">
        <v>45869</v>
      </c>
      <c r="D52">
        <v>53.648000000000003</v>
      </c>
      <c r="E52" t="str">
        <f t="shared" si="0"/>
        <v/>
      </c>
      <c r="F52" t="str">
        <f t="shared" si="1"/>
        <v/>
      </c>
    </row>
    <row r="53" spans="3:6" x14ac:dyDescent="0.25">
      <c r="C53" s="31">
        <v>45868</v>
      </c>
      <c r="D53">
        <v>52.863</v>
      </c>
      <c r="E53" t="str">
        <f t="shared" si="0"/>
        <v/>
      </c>
      <c r="F53" t="str">
        <f t="shared" si="1"/>
        <v/>
      </c>
    </row>
    <row r="54" spans="3:6" x14ac:dyDescent="0.25">
      <c r="C54" s="31">
        <v>45867</v>
      </c>
      <c r="D54">
        <v>52.62</v>
      </c>
      <c r="E54" t="str">
        <f t="shared" si="0"/>
        <v/>
      </c>
      <c r="F54" t="str">
        <f t="shared" si="1"/>
        <v/>
      </c>
    </row>
    <row r="55" spans="3:6" x14ac:dyDescent="0.25">
      <c r="C55" s="31">
        <v>45866</v>
      </c>
      <c r="D55">
        <v>53.137</v>
      </c>
      <c r="E55" t="str">
        <f t="shared" si="0"/>
        <v/>
      </c>
      <c r="F55" t="str">
        <f t="shared" si="1"/>
        <v/>
      </c>
    </row>
    <row r="56" spans="3:6" x14ac:dyDescent="0.25">
      <c r="C56" s="31">
        <v>45863</v>
      </c>
      <c r="D56">
        <v>52.845999999999997</v>
      </c>
      <c r="E56" t="str">
        <f t="shared" si="0"/>
        <v/>
      </c>
      <c r="F56" t="str">
        <f t="shared" si="1"/>
        <v/>
      </c>
    </row>
    <row r="57" spans="3:6" x14ac:dyDescent="0.25">
      <c r="C57" s="31">
        <v>45862</v>
      </c>
      <c r="D57">
        <v>53.042999999999999</v>
      </c>
      <c r="E57" t="str">
        <f t="shared" si="0"/>
        <v/>
      </c>
      <c r="F57" t="str">
        <f t="shared" si="1"/>
        <v/>
      </c>
    </row>
    <row r="58" spans="3:6" x14ac:dyDescent="0.25">
      <c r="C58" s="31">
        <v>45861</v>
      </c>
      <c r="D58">
        <v>53.115000000000002</v>
      </c>
      <c r="E58" t="str">
        <f t="shared" si="0"/>
        <v/>
      </c>
      <c r="F58" t="str">
        <f t="shared" si="1"/>
        <v/>
      </c>
    </row>
    <row r="59" spans="3:6" x14ac:dyDescent="0.25">
      <c r="C59" s="31">
        <v>45860</v>
      </c>
      <c r="D59">
        <v>54.531999999999996</v>
      </c>
      <c r="E59" t="str">
        <f t="shared" si="0"/>
        <v/>
      </c>
      <c r="F59" t="str">
        <f t="shared" si="1"/>
        <v/>
      </c>
    </row>
    <row r="60" spans="3:6" x14ac:dyDescent="0.25">
      <c r="C60" s="31">
        <v>45859</v>
      </c>
      <c r="D60">
        <v>53.965000000000003</v>
      </c>
      <c r="E60" t="str">
        <f t="shared" si="0"/>
        <v/>
      </c>
      <c r="F60" t="str">
        <f t="shared" si="1"/>
        <v/>
      </c>
    </row>
    <row r="61" spans="3:6" x14ac:dyDescent="0.25">
      <c r="C61" s="31">
        <v>45856</v>
      </c>
      <c r="D61">
        <v>53.832000000000001</v>
      </c>
      <c r="E61" t="str">
        <f t="shared" si="0"/>
        <v/>
      </c>
      <c r="F61" t="str">
        <f t="shared" si="1"/>
        <v/>
      </c>
    </row>
    <row r="62" spans="3:6" x14ac:dyDescent="0.25">
      <c r="C62" s="31">
        <v>45855</v>
      </c>
      <c r="D62">
        <v>54.213000000000001</v>
      </c>
      <c r="E62" t="str">
        <f t="shared" si="0"/>
        <v/>
      </c>
      <c r="F62" t="str">
        <f t="shared" si="1"/>
        <v/>
      </c>
    </row>
    <row r="63" spans="3:6" x14ac:dyDescent="0.25">
      <c r="C63" s="31">
        <v>45854</v>
      </c>
      <c r="D63">
        <v>55.631</v>
      </c>
      <c r="E63" t="str">
        <f t="shared" si="0"/>
        <v/>
      </c>
      <c r="F63" t="str">
        <f t="shared" si="1"/>
        <v/>
      </c>
    </row>
    <row r="64" spans="3:6" x14ac:dyDescent="0.25">
      <c r="C64" s="31">
        <v>45853</v>
      </c>
      <c r="D64">
        <v>55.072000000000003</v>
      </c>
      <c r="E64" t="str">
        <f t="shared" si="0"/>
        <v/>
      </c>
      <c r="F64" t="str">
        <f t="shared" si="1"/>
        <v/>
      </c>
    </row>
    <row r="65" spans="3:6" x14ac:dyDescent="0.25">
      <c r="C65" s="31">
        <v>45852</v>
      </c>
      <c r="D65">
        <v>54.639000000000003</v>
      </c>
      <c r="E65" t="str">
        <f t="shared" si="0"/>
        <v/>
      </c>
      <c r="F65" t="str">
        <f t="shared" si="1"/>
        <v/>
      </c>
    </row>
    <row r="66" spans="3:6" x14ac:dyDescent="0.25">
      <c r="C66" s="31">
        <v>45849</v>
      </c>
      <c r="D66">
        <v>54.253</v>
      </c>
      <c r="E66" t="str">
        <f t="shared" si="0"/>
        <v/>
      </c>
      <c r="F66" t="str">
        <f t="shared" si="1"/>
        <v/>
      </c>
    </row>
    <row r="67" spans="3:6" x14ac:dyDescent="0.25">
      <c r="C67" s="31">
        <v>45848</v>
      </c>
      <c r="D67">
        <v>53.298999999999999</v>
      </c>
      <c r="E67" t="str">
        <f t="shared" ref="E67:E130" si="2">IFERROR(VLOOKUP(C67,A:B,2, FALSE),"")</f>
        <v/>
      </c>
      <c r="F67" t="str">
        <f t="shared" ref="F67:F130" si="3">IF(E67=1,D67,"")</f>
        <v/>
      </c>
    </row>
    <row r="68" spans="3:6" x14ac:dyDescent="0.25">
      <c r="C68" s="31">
        <v>45847</v>
      </c>
      <c r="D68">
        <v>53.478000000000002</v>
      </c>
      <c r="E68" t="str">
        <f t="shared" si="2"/>
        <v/>
      </c>
      <c r="F68" t="str">
        <f t="shared" si="3"/>
        <v/>
      </c>
    </row>
    <row r="69" spans="3:6" x14ac:dyDescent="0.25">
      <c r="C69" s="31">
        <v>45846</v>
      </c>
      <c r="D69">
        <v>53.932000000000002</v>
      </c>
      <c r="E69" t="str">
        <f t="shared" si="2"/>
        <v/>
      </c>
      <c r="F69" t="str">
        <f t="shared" si="3"/>
        <v/>
      </c>
    </row>
    <row r="70" spans="3:6" x14ac:dyDescent="0.25">
      <c r="C70" s="31">
        <v>45845</v>
      </c>
      <c r="D70">
        <v>53.845999999999997</v>
      </c>
      <c r="E70" t="str">
        <f t="shared" si="2"/>
        <v/>
      </c>
      <c r="F70" t="str">
        <f t="shared" si="3"/>
        <v/>
      </c>
    </row>
    <row r="71" spans="3:6" x14ac:dyDescent="0.25">
      <c r="C71" s="31">
        <v>45842</v>
      </c>
      <c r="D71">
        <v>54.831000000000003</v>
      </c>
      <c r="E71" t="str">
        <f t="shared" si="2"/>
        <v/>
      </c>
      <c r="F71" t="str">
        <f t="shared" si="3"/>
        <v/>
      </c>
    </row>
    <row r="72" spans="3:6" x14ac:dyDescent="0.25">
      <c r="C72" s="31">
        <v>45841</v>
      </c>
      <c r="D72">
        <v>53.003999999999998</v>
      </c>
      <c r="E72" t="str">
        <f t="shared" si="2"/>
        <v/>
      </c>
      <c r="F72" t="str">
        <f t="shared" si="3"/>
        <v/>
      </c>
    </row>
    <row r="73" spans="3:6" x14ac:dyDescent="0.25">
      <c r="C73" s="31">
        <v>45840</v>
      </c>
      <c r="D73">
        <v>54.247</v>
      </c>
      <c r="E73" t="str">
        <f t="shared" si="2"/>
        <v/>
      </c>
      <c r="F73" t="str">
        <f t="shared" si="3"/>
        <v/>
      </c>
    </row>
    <row r="74" spans="3:6" x14ac:dyDescent="0.25">
      <c r="C74" s="31">
        <v>45839</v>
      </c>
      <c r="D74">
        <v>54.271000000000001</v>
      </c>
      <c r="E74" t="str">
        <f t="shared" si="2"/>
        <v/>
      </c>
      <c r="F74" t="str">
        <f t="shared" si="3"/>
        <v/>
      </c>
    </row>
    <row r="75" spans="3:6" x14ac:dyDescent="0.25">
      <c r="C75" s="31">
        <v>45838</v>
      </c>
      <c r="D75">
        <v>54.506</v>
      </c>
      <c r="E75" t="str">
        <f t="shared" si="2"/>
        <v/>
      </c>
      <c r="F75" t="str">
        <f t="shared" si="3"/>
        <v/>
      </c>
    </row>
    <row r="76" spans="3:6" x14ac:dyDescent="0.25">
      <c r="C76" s="31">
        <v>45835</v>
      </c>
      <c r="D76">
        <v>54.7</v>
      </c>
      <c r="E76" t="str">
        <f t="shared" si="2"/>
        <v/>
      </c>
      <c r="F76" t="str">
        <f t="shared" si="3"/>
        <v/>
      </c>
    </row>
    <row r="77" spans="3:6" x14ac:dyDescent="0.25">
      <c r="C77" s="31">
        <v>45834</v>
      </c>
      <c r="D77">
        <v>56.137999999999998</v>
      </c>
      <c r="E77" t="str">
        <f t="shared" si="2"/>
        <v/>
      </c>
      <c r="F77" t="str">
        <f t="shared" si="3"/>
        <v/>
      </c>
    </row>
    <row r="78" spans="3:6" x14ac:dyDescent="0.25">
      <c r="C78" s="31">
        <v>45833</v>
      </c>
      <c r="D78">
        <v>56.591999999999999</v>
      </c>
      <c r="E78" t="str">
        <f t="shared" si="2"/>
        <v/>
      </c>
      <c r="F78" t="str">
        <f t="shared" si="3"/>
        <v/>
      </c>
    </row>
    <row r="79" spans="3:6" x14ac:dyDescent="0.25">
      <c r="C79" s="31">
        <v>45832</v>
      </c>
      <c r="D79">
        <v>56.253999999999998</v>
      </c>
      <c r="E79" t="str">
        <f t="shared" si="2"/>
        <v/>
      </c>
      <c r="F79" t="str">
        <f t="shared" si="3"/>
        <v/>
      </c>
    </row>
    <row r="80" spans="3:6" x14ac:dyDescent="0.25">
      <c r="C80" s="31">
        <v>45831</v>
      </c>
      <c r="D80">
        <v>59.88</v>
      </c>
      <c r="E80" t="str">
        <f t="shared" si="2"/>
        <v/>
      </c>
      <c r="F80" t="str">
        <f t="shared" si="3"/>
        <v/>
      </c>
    </row>
    <row r="81" spans="3:6" x14ac:dyDescent="0.25">
      <c r="C81" s="31">
        <v>45828</v>
      </c>
      <c r="D81">
        <v>59.218000000000004</v>
      </c>
      <c r="E81" t="str">
        <f t="shared" si="2"/>
        <v/>
      </c>
      <c r="F81" t="str">
        <f t="shared" si="3"/>
        <v/>
      </c>
    </row>
    <row r="82" spans="3:6" x14ac:dyDescent="0.25">
      <c r="C82" s="31">
        <v>45827</v>
      </c>
      <c r="D82">
        <v>61.43</v>
      </c>
      <c r="E82">
        <f t="shared" si="2"/>
        <v>1</v>
      </c>
      <c r="F82">
        <f t="shared" si="3"/>
        <v>61.43</v>
      </c>
    </row>
    <row r="83" spans="3:6" x14ac:dyDescent="0.25">
      <c r="C83" s="31">
        <v>45826</v>
      </c>
      <c r="D83">
        <v>58.506999999999998</v>
      </c>
      <c r="E83" t="str">
        <f t="shared" si="2"/>
        <v/>
      </c>
      <c r="F83" t="str">
        <f t="shared" si="3"/>
        <v/>
      </c>
    </row>
    <row r="84" spans="3:6" x14ac:dyDescent="0.25">
      <c r="C84" s="31">
        <v>45825</v>
      </c>
      <c r="D84">
        <v>57.69</v>
      </c>
      <c r="E84" t="str">
        <f t="shared" si="2"/>
        <v/>
      </c>
      <c r="F84" t="str">
        <f t="shared" si="3"/>
        <v/>
      </c>
    </row>
    <row r="85" spans="3:6" x14ac:dyDescent="0.25">
      <c r="C85" s="31">
        <v>45824</v>
      </c>
      <c r="D85">
        <v>56.100999999999999</v>
      </c>
      <c r="E85" t="str">
        <f t="shared" si="2"/>
        <v/>
      </c>
      <c r="F85" t="str">
        <f t="shared" si="3"/>
        <v/>
      </c>
    </row>
    <row r="86" spans="3:6" x14ac:dyDescent="0.25">
      <c r="C86" s="31">
        <v>45821</v>
      </c>
      <c r="D86">
        <v>57.594999999999999</v>
      </c>
      <c r="E86" t="str">
        <f t="shared" si="2"/>
        <v/>
      </c>
      <c r="F86" t="str">
        <f t="shared" si="3"/>
        <v/>
      </c>
    </row>
    <row r="87" spans="3:6" x14ac:dyDescent="0.25">
      <c r="C87" s="31">
        <v>45820</v>
      </c>
      <c r="D87">
        <v>56.261000000000003</v>
      </c>
      <c r="E87" t="str">
        <f t="shared" si="2"/>
        <v/>
      </c>
      <c r="F87" t="str">
        <f t="shared" si="3"/>
        <v/>
      </c>
    </row>
    <row r="88" spans="3:6" x14ac:dyDescent="0.25">
      <c r="C88" s="31">
        <v>45819</v>
      </c>
      <c r="D88">
        <v>54.691000000000003</v>
      </c>
      <c r="E88" t="str">
        <f t="shared" si="2"/>
        <v/>
      </c>
      <c r="F88" t="str">
        <f t="shared" si="3"/>
        <v/>
      </c>
    </row>
    <row r="89" spans="3:6" x14ac:dyDescent="0.25">
      <c r="C89" s="31">
        <v>45818</v>
      </c>
      <c r="D89">
        <v>55.305</v>
      </c>
      <c r="E89" t="str">
        <f t="shared" si="2"/>
        <v/>
      </c>
      <c r="F89" t="str">
        <f t="shared" si="3"/>
        <v/>
      </c>
    </row>
    <row r="90" spans="3:6" x14ac:dyDescent="0.25">
      <c r="C90" s="31">
        <v>45817</v>
      </c>
      <c r="D90">
        <v>55.6</v>
      </c>
      <c r="E90" t="str">
        <f t="shared" si="2"/>
        <v/>
      </c>
      <c r="F90" t="str">
        <f t="shared" si="3"/>
        <v/>
      </c>
    </row>
    <row r="91" spans="3:6" x14ac:dyDescent="0.25">
      <c r="C91" s="31">
        <v>45814</v>
      </c>
      <c r="D91">
        <v>55.598999999999997</v>
      </c>
      <c r="E91" t="str">
        <f t="shared" si="2"/>
        <v/>
      </c>
      <c r="F91" t="str">
        <f t="shared" si="3"/>
        <v/>
      </c>
    </row>
    <row r="92" spans="3:6" x14ac:dyDescent="0.25">
      <c r="C92" s="31">
        <v>45813</v>
      </c>
      <c r="D92">
        <v>56.225999999999999</v>
      </c>
      <c r="E92" t="str">
        <f t="shared" si="2"/>
        <v/>
      </c>
      <c r="F92" t="str">
        <f t="shared" si="3"/>
        <v/>
      </c>
    </row>
    <row r="93" spans="3:6" x14ac:dyDescent="0.25">
      <c r="C93" s="31">
        <v>45812</v>
      </c>
      <c r="D93">
        <v>56.615000000000002</v>
      </c>
      <c r="E93" t="str">
        <f t="shared" si="2"/>
        <v/>
      </c>
      <c r="F93" t="str">
        <f t="shared" si="3"/>
        <v/>
      </c>
    </row>
    <row r="94" spans="3:6" x14ac:dyDescent="0.25">
      <c r="C94" s="31">
        <v>45811</v>
      </c>
      <c r="D94">
        <v>56.801000000000002</v>
      </c>
      <c r="E94" t="str">
        <f t="shared" si="2"/>
        <v/>
      </c>
      <c r="F94" t="str">
        <f t="shared" si="3"/>
        <v/>
      </c>
    </row>
    <row r="95" spans="3:6" x14ac:dyDescent="0.25">
      <c r="C95" s="31">
        <v>45810</v>
      </c>
      <c r="D95">
        <v>57.773000000000003</v>
      </c>
      <c r="E95" t="str">
        <f t="shared" si="2"/>
        <v/>
      </c>
      <c r="F95" t="str">
        <f t="shared" si="3"/>
        <v/>
      </c>
    </row>
    <row r="96" spans="3:6" x14ac:dyDescent="0.25">
      <c r="C96" s="31">
        <v>45807</v>
      </c>
      <c r="D96">
        <v>57.783999999999999</v>
      </c>
      <c r="E96" t="str">
        <f t="shared" si="2"/>
        <v/>
      </c>
      <c r="F96" t="str">
        <f t="shared" si="3"/>
        <v/>
      </c>
    </row>
    <row r="97" spans="3:6" x14ac:dyDescent="0.25">
      <c r="C97" s="31">
        <v>45806</v>
      </c>
      <c r="D97">
        <v>57.710999999999999</v>
      </c>
      <c r="E97" t="str">
        <f t="shared" si="2"/>
        <v/>
      </c>
      <c r="F97" t="str">
        <f t="shared" si="3"/>
        <v/>
      </c>
    </row>
    <row r="98" spans="3:6" x14ac:dyDescent="0.25">
      <c r="C98" s="31">
        <v>45805</v>
      </c>
      <c r="D98">
        <v>57.828000000000003</v>
      </c>
      <c r="E98" t="str">
        <f t="shared" si="2"/>
        <v/>
      </c>
      <c r="F98" t="str">
        <f t="shared" si="3"/>
        <v/>
      </c>
    </row>
    <row r="99" spans="3:6" x14ac:dyDescent="0.25">
      <c r="C99" s="31">
        <v>45804</v>
      </c>
      <c r="D99">
        <v>57.72</v>
      </c>
      <c r="E99" t="str">
        <f t="shared" si="2"/>
        <v/>
      </c>
      <c r="F99" t="str">
        <f t="shared" si="3"/>
        <v/>
      </c>
    </row>
    <row r="100" spans="3:6" x14ac:dyDescent="0.25">
      <c r="C100" s="31">
        <v>45800</v>
      </c>
      <c r="D100">
        <v>61.015000000000001</v>
      </c>
      <c r="E100" t="str">
        <f t="shared" si="2"/>
        <v/>
      </c>
      <c r="F100" t="str">
        <f t="shared" si="3"/>
        <v/>
      </c>
    </row>
    <row r="101" spans="3:6" x14ac:dyDescent="0.25">
      <c r="C101" s="31">
        <v>45799</v>
      </c>
      <c r="D101">
        <v>58.192</v>
      </c>
      <c r="E101">
        <f t="shared" si="2"/>
        <v>1</v>
      </c>
      <c r="F101">
        <f t="shared" si="3"/>
        <v>58.192</v>
      </c>
    </row>
    <row r="102" spans="3:6" x14ac:dyDescent="0.25">
      <c r="C102" s="31">
        <v>45798</v>
      </c>
      <c r="D102">
        <v>56.975999999999999</v>
      </c>
      <c r="E102" t="str">
        <f t="shared" si="2"/>
        <v/>
      </c>
      <c r="F102" t="str">
        <f t="shared" si="3"/>
        <v/>
      </c>
    </row>
    <row r="103" spans="3:6" x14ac:dyDescent="0.25">
      <c r="C103" s="31">
        <v>45797</v>
      </c>
      <c r="D103">
        <v>56.456000000000003</v>
      </c>
      <c r="E103" t="str">
        <f t="shared" si="2"/>
        <v/>
      </c>
      <c r="F103" t="str">
        <f t="shared" si="3"/>
        <v/>
      </c>
    </row>
    <row r="104" spans="3:6" x14ac:dyDescent="0.25">
      <c r="C104" s="31">
        <v>45796</v>
      </c>
      <c r="D104">
        <v>57.064999999999998</v>
      </c>
      <c r="E104" t="str">
        <f t="shared" si="2"/>
        <v/>
      </c>
      <c r="F104" t="str">
        <f t="shared" si="3"/>
        <v/>
      </c>
    </row>
    <row r="105" spans="3:6" x14ac:dyDescent="0.25">
      <c r="C105" s="31">
        <v>45793</v>
      </c>
      <c r="D105">
        <v>57.341999999999999</v>
      </c>
      <c r="E105" t="str">
        <f t="shared" si="2"/>
        <v/>
      </c>
      <c r="F105" t="str">
        <f t="shared" si="3"/>
        <v/>
      </c>
    </row>
    <row r="106" spans="3:6" x14ac:dyDescent="0.25">
      <c r="C106" s="31">
        <v>45792</v>
      </c>
      <c r="D106">
        <v>56.901000000000003</v>
      </c>
      <c r="E106" t="str">
        <f t="shared" si="2"/>
        <v/>
      </c>
      <c r="F106" t="str">
        <f t="shared" si="3"/>
        <v/>
      </c>
    </row>
    <row r="107" spans="3:6" x14ac:dyDescent="0.25">
      <c r="C107" s="31">
        <v>45791</v>
      </c>
      <c r="D107">
        <v>56.732999999999997</v>
      </c>
      <c r="E107" t="str">
        <f t="shared" si="2"/>
        <v/>
      </c>
      <c r="F107" t="str">
        <f t="shared" si="3"/>
        <v/>
      </c>
    </row>
    <row r="108" spans="3:6" x14ac:dyDescent="0.25">
      <c r="C108" s="31">
        <v>45790</v>
      </c>
      <c r="D108">
        <v>55.704999999999998</v>
      </c>
      <c r="E108" t="str">
        <f t="shared" si="2"/>
        <v/>
      </c>
      <c r="F108" t="str">
        <f t="shared" si="3"/>
        <v/>
      </c>
    </row>
    <row r="109" spans="3:6" x14ac:dyDescent="0.25">
      <c r="C109" s="31">
        <v>45789</v>
      </c>
      <c r="D109">
        <v>58.100999999999999</v>
      </c>
      <c r="E109" t="str">
        <f t="shared" si="2"/>
        <v/>
      </c>
      <c r="F109" t="str">
        <f t="shared" si="3"/>
        <v/>
      </c>
    </row>
    <row r="110" spans="3:6" x14ac:dyDescent="0.25">
      <c r="C110" s="31">
        <v>45786</v>
      </c>
      <c r="D110">
        <v>61.392000000000003</v>
      </c>
      <c r="E110" t="str">
        <f t="shared" si="2"/>
        <v/>
      </c>
      <c r="F110" t="str">
        <f t="shared" si="3"/>
        <v/>
      </c>
    </row>
    <row r="111" spans="3:6" x14ac:dyDescent="0.25">
      <c r="C111" s="31">
        <v>45785</v>
      </c>
      <c r="D111">
        <v>61.637</v>
      </c>
      <c r="E111" t="str">
        <f t="shared" si="2"/>
        <v/>
      </c>
      <c r="F111" t="str">
        <f t="shared" si="3"/>
        <v/>
      </c>
    </row>
    <row r="112" spans="3:6" x14ac:dyDescent="0.25">
      <c r="C112" s="31">
        <v>45784</v>
      </c>
      <c r="D112">
        <v>63.927999999999997</v>
      </c>
      <c r="E112" t="str">
        <f t="shared" si="2"/>
        <v/>
      </c>
      <c r="F112" t="str">
        <f t="shared" si="3"/>
        <v/>
      </c>
    </row>
    <row r="113" spans="3:6" x14ac:dyDescent="0.25">
      <c r="C113" s="31">
        <v>45783</v>
      </c>
      <c r="D113">
        <v>64.156000000000006</v>
      </c>
      <c r="E113" t="str">
        <f t="shared" si="2"/>
        <v/>
      </c>
      <c r="F113" t="str">
        <f t="shared" si="3"/>
        <v/>
      </c>
    </row>
    <row r="114" spans="3:6" x14ac:dyDescent="0.25">
      <c r="C114" s="31">
        <v>45779</v>
      </c>
      <c r="D114">
        <v>64.915000000000006</v>
      </c>
      <c r="E114" t="str">
        <f t="shared" si="2"/>
        <v/>
      </c>
      <c r="F114" t="str">
        <f t="shared" si="3"/>
        <v/>
      </c>
    </row>
    <row r="115" spans="3:6" x14ac:dyDescent="0.25">
      <c r="C115" s="31">
        <v>45778</v>
      </c>
      <c r="D115">
        <v>66.713999999999999</v>
      </c>
      <c r="E115" t="str">
        <f t="shared" si="2"/>
        <v/>
      </c>
      <c r="F115" t="str">
        <f t="shared" si="3"/>
        <v/>
      </c>
    </row>
    <row r="116" spans="3:6" x14ac:dyDescent="0.25">
      <c r="C116" s="31">
        <v>45777</v>
      </c>
      <c r="D116">
        <v>68.236999999999995</v>
      </c>
      <c r="E116" t="str">
        <f t="shared" si="2"/>
        <v/>
      </c>
      <c r="F116" t="str">
        <f t="shared" si="3"/>
        <v/>
      </c>
    </row>
    <row r="117" spans="3:6" x14ac:dyDescent="0.25">
      <c r="C117" s="31">
        <v>45776</v>
      </c>
      <c r="D117">
        <v>66.606999999999999</v>
      </c>
      <c r="E117" t="str">
        <f t="shared" si="2"/>
        <v/>
      </c>
      <c r="F117" t="str">
        <f t="shared" si="3"/>
        <v/>
      </c>
    </row>
    <row r="118" spans="3:6" x14ac:dyDescent="0.25">
      <c r="C118" s="31">
        <v>45775</v>
      </c>
      <c r="D118">
        <v>66.117000000000004</v>
      </c>
      <c r="E118" t="str">
        <f t="shared" si="2"/>
        <v/>
      </c>
      <c r="F118" t="str">
        <f t="shared" si="3"/>
        <v/>
      </c>
    </row>
    <row r="119" spans="3:6" x14ac:dyDescent="0.25">
      <c r="C119" s="31">
        <v>45772</v>
      </c>
      <c r="D119">
        <v>65.930999999999997</v>
      </c>
      <c r="E119" t="str">
        <f t="shared" si="2"/>
        <v/>
      </c>
      <c r="F119" t="str">
        <f t="shared" si="3"/>
        <v/>
      </c>
    </row>
    <row r="120" spans="3:6" x14ac:dyDescent="0.25">
      <c r="C120" s="31">
        <v>45771</v>
      </c>
      <c r="D120">
        <v>67.007000000000005</v>
      </c>
      <c r="E120" t="str">
        <f t="shared" si="2"/>
        <v/>
      </c>
      <c r="F120" t="str">
        <f t="shared" si="3"/>
        <v/>
      </c>
    </row>
    <row r="121" spans="3:6" x14ac:dyDescent="0.25">
      <c r="C121" s="31">
        <v>45770</v>
      </c>
      <c r="D121">
        <v>68.599999999999994</v>
      </c>
      <c r="E121" t="str">
        <f t="shared" si="2"/>
        <v/>
      </c>
      <c r="F121" t="str">
        <f t="shared" si="3"/>
        <v/>
      </c>
    </row>
    <row r="122" spans="3:6" x14ac:dyDescent="0.25">
      <c r="C122" s="31">
        <v>45769</v>
      </c>
      <c r="D122">
        <v>71.143000000000001</v>
      </c>
      <c r="E122" t="str">
        <f t="shared" si="2"/>
        <v/>
      </c>
      <c r="F122" t="str">
        <f t="shared" si="3"/>
        <v/>
      </c>
    </row>
    <row r="123" spans="3:6" x14ac:dyDescent="0.25">
      <c r="C123" s="31">
        <v>45764</v>
      </c>
      <c r="D123">
        <v>71.841999999999999</v>
      </c>
      <c r="E123" t="str">
        <f t="shared" si="2"/>
        <v/>
      </c>
      <c r="F123" t="str">
        <f t="shared" si="3"/>
        <v/>
      </c>
    </row>
    <row r="124" spans="3:6" x14ac:dyDescent="0.25">
      <c r="C124" s="31">
        <v>45763</v>
      </c>
      <c r="D124">
        <v>71.765000000000001</v>
      </c>
      <c r="E124" t="str">
        <f t="shared" si="2"/>
        <v/>
      </c>
      <c r="F124" t="str">
        <f t="shared" si="3"/>
        <v/>
      </c>
    </row>
    <row r="125" spans="3:6" x14ac:dyDescent="0.25">
      <c r="C125" s="31">
        <v>45762</v>
      </c>
      <c r="D125">
        <v>71.760999999999996</v>
      </c>
      <c r="E125" t="str">
        <f t="shared" si="2"/>
        <v/>
      </c>
      <c r="F125" t="str">
        <f t="shared" si="3"/>
        <v/>
      </c>
    </row>
    <row r="126" spans="3:6" x14ac:dyDescent="0.25">
      <c r="C126" s="31">
        <v>45761</v>
      </c>
      <c r="D126">
        <v>73.503</v>
      </c>
      <c r="E126">
        <f t="shared" si="2"/>
        <v>1</v>
      </c>
      <c r="F126">
        <f t="shared" si="3"/>
        <v>73.503</v>
      </c>
    </row>
    <row r="127" spans="3:6" x14ac:dyDescent="0.25">
      <c r="C127" s="31">
        <v>45758</v>
      </c>
      <c r="D127">
        <v>76.881</v>
      </c>
      <c r="E127" t="str">
        <f t="shared" si="2"/>
        <v/>
      </c>
      <c r="F127" t="str">
        <f t="shared" si="3"/>
        <v/>
      </c>
    </row>
    <row r="128" spans="3:6" x14ac:dyDescent="0.25">
      <c r="C128" s="31">
        <v>45757</v>
      </c>
      <c r="D128">
        <v>77.715000000000003</v>
      </c>
      <c r="E128" t="str">
        <f t="shared" si="2"/>
        <v/>
      </c>
      <c r="F128" t="str">
        <f t="shared" si="3"/>
        <v/>
      </c>
    </row>
    <row r="129" spans="3:6" x14ac:dyDescent="0.25">
      <c r="C129" s="31">
        <v>45756</v>
      </c>
      <c r="D129">
        <v>85.346000000000004</v>
      </c>
      <c r="E129" t="str">
        <f t="shared" si="2"/>
        <v/>
      </c>
      <c r="F129" t="str">
        <f t="shared" si="3"/>
        <v/>
      </c>
    </row>
    <row r="130" spans="3:6" x14ac:dyDescent="0.25">
      <c r="C130" s="31">
        <v>45755</v>
      </c>
      <c r="D130">
        <v>77.337000000000003</v>
      </c>
      <c r="E130">
        <f t="shared" si="2"/>
        <v>1</v>
      </c>
      <c r="F130">
        <f t="shared" si="3"/>
        <v>77.337000000000003</v>
      </c>
    </row>
    <row r="131" spans="3:6" x14ac:dyDescent="0.25">
      <c r="C131" s="31">
        <v>45754</v>
      </c>
      <c r="D131">
        <v>79.796999999999997</v>
      </c>
      <c r="E131" t="str">
        <f t="shared" ref="E131:E194" si="4">IFERROR(VLOOKUP(C131,A:B,2, FALSE),"")</f>
        <v/>
      </c>
      <c r="F131" t="str">
        <f t="shared" ref="F131:F194" si="5">IF(E131=1,D131,"")</f>
        <v/>
      </c>
    </row>
    <row r="132" spans="3:6" x14ac:dyDescent="0.25">
      <c r="C132" s="31">
        <v>45751</v>
      </c>
      <c r="D132">
        <v>77.266999999999996</v>
      </c>
      <c r="E132" t="str">
        <f t="shared" si="4"/>
        <v/>
      </c>
      <c r="F132" t="str">
        <f t="shared" si="5"/>
        <v/>
      </c>
    </row>
    <row r="133" spans="3:6" x14ac:dyDescent="0.25">
      <c r="C133" s="31">
        <v>45750</v>
      </c>
      <c r="D133">
        <v>68.501000000000005</v>
      </c>
      <c r="E133" t="str">
        <f t="shared" si="4"/>
        <v/>
      </c>
      <c r="F133" t="str">
        <f t="shared" si="5"/>
        <v/>
      </c>
    </row>
    <row r="134" spans="3:6" x14ac:dyDescent="0.25">
      <c r="C134" s="31">
        <v>45749</v>
      </c>
      <c r="D134">
        <v>63.631</v>
      </c>
      <c r="E134" t="str">
        <f t="shared" si="4"/>
        <v/>
      </c>
      <c r="F134" t="str">
        <f t="shared" si="5"/>
        <v/>
      </c>
    </row>
    <row r="135" spans="3:6" x14ac:dyDescent="0.25">
      <c r="C135" s="31">
        <v>45748</v>
      </c>
      <c r="D135">
        <v>63.209000000000003</v>
      </c>
      <c r="E135" t="str">
        <f t="shared" si="4"/>
        <v/>
      </c>
      <c r="F135" t="str">
        <f t="shared" si="5"/>
        <v/>
      </c>
    </row>
    <row r="136" spans="3:6" x14ac:dyDescent="0.25">
      <c r="C136" s="31">
        <v>45747</v>
      </c>
      <c r="D136">
        <v>63.634</v>
      </c>
      <c r="E136" t="str">
        <f t="shared" si="4"/>
        <v/>
      </c>
      <c r="F136" t="str">
        <f t="shared" si="5"/>
        <v/>
      </c>
    </row>
    <row r="137" spans="3:6" x14ac:dyDescent="0.25">
      <c r="C137" s="31">
        <v>45744</v>
      </c>
      <c r="D137">
        <v>62.189</v>
      </c>
      <c r="E137" t="str">
        <f t="shared" si="4"/>
        <v/>
      </c>
      <c r="F137" t="str">
        <f t="shared" si="5"/>
        <v/>
      </c>
    </row>
    <row r="138" spans="3:6" x14ac:dyDescent="0.25">
      <c r="C138" s="31">
        <v>45743</v>
      </c>
      <c r="D138">
        <v>61.000999999999998</v>
      </c>
      <c r="E138" t="str">
        <f t="shared" si="4"/>
        <v/>
      </c>
      <c r="F138" t="str">
        <f t="shared" si="5"/>
        <v/>
      </c>
    </row>
    <row r="139" spans="3:6" x14ac:dyDescent="0.25">
      <c r="C139" s="31">
        <v>45742</v>
      </c>
      <c r="D139">
        <v>59.040999999999997</v>
      </c>
      <c r="E139" t="str">
        <f t="shared" si="4"/>
        <v/>
      </c>
      <c r="F139" t="str">
        <f t="shared" si="5"/>
        <v/>
      </c>
    </row>
    <row r="140" spans="3:6" x14ac:dyDescent="0.25">
      <c r="C140" s="31">
        <v>45741</v>
      </c>
      <c r="D140">
        <v>57.524000000000001</v>
      </c>
      <c r="E140" t="str">
        <f t="shared" si="4"/>
        <v/>
      </c>
      <c r="F140" t="str">
        <f t="shared" si="5"/>
        <v/>
      </c>
    </row>
    <row r="141" spans="3:6" x14ac:dyDescent="0.25">
      <c r="C141" s="31">
        <v>45740</v>
      </c>
      <c r="D141">
        <v>58.360999999999997</v>
      </c>
      <c r="E141" t="str">
        <f t="shared" si="4"/>
        <v/>
      </c>
      <c r="F141" t="str">
        <f t="shared" si="5"/>
        <v/>
      </c>
    </row>
    <row r="142" spans="3:6" x14ac:dyDescent="0.25">
      <c r="C142" s="31">
        <v>45737</v>
      </c>
      <c r="D142">
        <v>60.232999999999997</v>
      </c>
      <c r="E142">
        <f t="shared" si="4"/>
        <v>1</v>
      </c>
      <c r="F142">
        <f t="shared" si="5"/>
        <v>60.232999999999997</v>
      </c>
    </row>
    <row r="143" spans="3:6" x14ac:dyDescent="0.25">
      <c r="C143" s="31">
        <v>45736</v>
      </c>
      <c r="D143">
        <v>58.676000000000002</v>
      </c>
      <c r="E143" t="str">
        <f t="shared" si="4"/>
        <v/>
      </c>
      <c r="F143" t="str">
        <f t="shared" si="5"/>
        <v/>
      </c>
    </row>
    <row r="144" spans="3:6" x14ac:dyDescent="0.25">
      <c r="C144" s="31">
        <v>45735</v>
      </c>
      <c r="D144">
        <v>54.978999999999999</v>
      </c>
      <c r="E144" t="str">
        <f t="shared" si="4"/>
        <v/>
      </c>
      <c r="F144" t="str">
        <f t="shared" si="5"/>
        <v/>
      </c>
    </row>
    <row r="145" spans="3:6" x14ac:dyDescent="0.25">
      <c r="C145" s="31">
        <v>45734</v>
      </c>
      <c r="D145">
        <v>55.857999999999997</v>
      </c>
      <c r="E145" t="str">
        <f t="shared" si="4"/>
        <v/>
      </c>
      <c r="F145" t="str">
        <f t="shared" si="5"/>
        <v/>
      </c>
    </row>
    <row r="146" spans="3:6" x14ac:dyDescent="0.25">
      <c r="C146" s="31">
        <v>45733</v>
      </c>
      <c r="D146">
        <v>56.180999999999997</v>
      </c>
      <c r="E146" t="str">
        <f t="shared" si="4"/>
        <v/>
      </c>
      <c r="F146" t="str">
        <f t="shared" si="5"/>
        <v/>
      </c>
    </row>
    <row r="147" spans="3:6" x14ac:dyDescent="0.25">
      <c r="C147" s="31">
        <v>45730</v>
      </c>
      <c r="D147">
        <v>57.101999999999997</v>
      </c>
      <c r="E147" t="str">
        <f t="shared" si="4"/>
        <v/>
      </c>
      <c r="F147" t="str">
        <f t="shared" si="5"/>
        <v/>
      </c>
    </row>
    <row r="148" spans="3:6" x14ac:dyDescent="0.25">
      <c r="C148" s="31">
        <v>45729</v>
      </c>
      <c r="D148">
        <v>58.759</v>
      </c>
      <c r="E148" t="str">
        <f t="shared" si="4"/>
        <v/>
      </c>
      <c r="F148" t="str">
        <f t="shared" si="5"/>
        <v/>
      </c>
    </row>
    <row r="149" spans="3:6" x14ac:dyDescent="0.25">
      <c r="C149" s="31">
        <v>45728</v>
      </c>
      <c r="D149">
        <v>56.414000000000001</v>
      </c>
      <c r="E149" t="str">
        <f t="shared" si="4"/>
        <v/>
      </c>
      <c r="F149" t="str">
        <f t="shared" si="5"/>
        <v/>
      </c>
    </row>
    <row r="150" spans="3:6" x14ac:dyDescent="0.25">
      <c r="C150" s="31">
        <v>45727</v>
      </c>
      <c r="D150">
        <v>57.482999999999997</v>
      </c>
      <c r="E150" t="str">
        <f t="shared" si="4"/>
        <v/>
      </c>
      <c r="F150" t="str">
        <f t="shared" si="5"/>
        <v/>
      </c>
    </row>
    <row r="151" spans="3:6" x14ac:dyDescent="0.25">
      <c r="C151" s="31">
        <v>45726</v>
      </c>
      <c r="D151">
        <v>56.155999999999999</v>
      </c>
      <c r="E151">
        <f t="shared" si="4"/>
        <v>1</v>
      </c>
      <c r="F151">
        <f t="shared" si="5"/>
        <v>56.155999999999999</v>
      </c>
    </row>
    <row r="152" spans="3:6" x14ac:dyDescent="0.25">
      <c r="C152" s="31">
        <v>45723</v>
      </c>
      <c r="D152">
        <v>54.976999999999997</v>
      </c>
      <c r="E152" t="str">
        <f t="shared" si="4"/>
        <v/>
      </c>
      <c r="F152" t="str">
        <f t="shared" si="5"/>
        <v/>
      </c>
    </row>
    <row r="153" spans="3:6" x14ac:dyDescent="0.25">
      <c r="C153" s="31">
        <v>45722</v>
      </c>
      <c r="D153">
        <v>54.402000000000001</v>
      </c>
      <c r="E153" t="str">
        <f t="shared" si="4"/>
        <v/>
      </c>
      <c r="F153" t="str">
        <f t="shared" si="5"/>
        <v/>
      </c>
    </row>
    <row r="154" spans="3:6" x14ac:dyDescent="0.25">
      <c r="C154" s="31">
        <v>45721</v>
      </c>
      <c r="D154">
        <v>53.594999999999999</v>
      </c>
      <c r="E154" t="str">
        <f t="shared" si="4"/>
        <v/>
      </c>
      <c r="F154" t="str">
        <f t="shared" si="5"/>
        <v/>
      </c>
    </row>
    <row r="155" spans="3:6" x14ac:dyDescent="0.25">
      <c r="C155" s="31">
        <v>45720</v>
      </c>
      <c r="D155">
        <v>54.771000000000001</v>
      </c>
      <c r="E155" t="str">
        <f t="shared" si="4"/>
        <v/>
      </c>
      <c r="F155" t="str">
        <f t="shared" si="5"/>
        <v/>
      </c>
    </row>
    <row r="156" spans="3:6" x14ac:dyDescent="0.25">
      <c r="C156" s="31">
        <v>45719</v>
      </c>
      <c r="D156">
        <v>53.174999999999997</v>
      </c>
      <c r="E156" t="str">
        <f t="shared" si="4"/>
        <v/>
      </c>
      <c r="F156" t="str">
        <f t="shared" si="5"/>
        <v/>
      </c>
    </row>
    <row r="157" spans="3:6" x14ac:dyDescent="0.25">
      <c r="C157" s="31">
        <v>45716</v>
      </c>
      <c r="D157">
        <v>53.749000000000002</v>
      </c>
      <c r="E157" t="str">
        <f t="shared" si="4"/>
        <v/>
      </c>
      <c r="F157" t="str">
        <f t="shared" si="5"/>
        <v/>
      </c>
    </row>
    <row r="158" spans="3:6" x14ac:dyDescent="0.25">
      <c r="C158" s="31">
        <v>45715</v>
      </c>
      <c r="D158">
        <v>53.261000000000003</v>
      </c>
      <c r="E158" t="str">
        <f t="shared" si="4"/>
        <v/>
      </c>
      <c r="F158" t="str">
        <f t="shared" si="5"/>
        <v/>
      </c>
    </row>
    <row r="159" spans="3:6" x14ac:dyDescent="0.25">
      <c r="C159" s="31">
        <v>45714</v>
      </c>
      <c r="D159">
        <v>51.893999999999998</v>
      </c>
      <c r="E159" t="str">
        <f t="shared" si="4"/>
        <v/>
      </c>
      <c r="F159" t="str">
        <f t="shared" si="5"/>
        <v/>
      </c>
    </row>
    <row r="160" spans="3:6" x14ac:dyDescent="0.25">
      <c r="C160" s="31">
        <v>45713</v>
      </c>
      <c r="D160">
        <v>53.095999999999997</v>
      </c>
      <c r="E160" t="str">
        <f t="shared" si="4"/>
        <v/>
      </c>
      <c r="F160" t="str">
        <f t="shared" si="5"/>
        <v/>
      </c>
    </row>
    <row r="161" spans="3:6" x14ac:dyDescent="0.25">
      <c r="C161" s="31">
        <v>45712</v>
      </c>
      <c r="D161">
        <v>52.776000000000003</v>
      </c>
      <c r="E161" t="str">
        <f t="shared" si="4"/>
        <v/>
      </c>
      <c r="F161" t="str">
        <f t="shared" si="5"/>
        <v/>
      </c>
    </row>
    <row r="162" spans="3:6" x14ac:dyDescent="0.25">
      <c r="C162" s="31">
        <v>45709</v>
      </c>
      <c r="D162">
        <v>52.249000000000002</v>
      </c>
      <c r="E162" t="str">
        <f t="shared" si="4"/>
        <v/>
      </c>
      <c r="F162" t="str">
        <f t="shared" si="5"/>
        <v/>
      </c>
    </row>
    <row r="163" spans="3:6" x14ac:dyDescent="0.25">
      <c r="C163" s="31">
        <v>45708</v>
      </c>
      <c r="D163">
        <v>52.268000000000001</v>
      </c>
      <c r="E163" t="str">
        <f t="shared" si="4"/>
        <v/>
      </c>
      <c r="F163" t="str">
        <f t="shared" si="5"/>
        <v/>
      </c>
    </row>
    <row r="164" spans="3:6" x14ac:dyDescent="0.25">
      <c r="C164" s="31">
        <v>45707</v>
      </c>
      <c r="D164">
        <v>51.786999999999999</v>
      </c>
      <c r="E164" t="str">
        <f t="shared" si="4"/>
        <v/>
      </c>
      <c r="F164" t="str">
        <f t="shared" si="5"/>
        <v/>
      </c>
    </row>
    <row r="165" spans="3:6" x14ac:dyDescent="0.25">
      <c r="C165" s="31">
        <v>45706</v>
      </c>
      <c r="D165">
        <v>50.881</v>
      </c>
      <c r="E165" t="str">
        <f t="shared" si="4"/>
        <v/>
      </c>
      <c r="F165" t="str">
        <f t="shared" si="5"/>
        <v/>
      </c>
    </row>
    <row r="166" spans="3:6" x14ac:dyDescent="0.25">
      <c r="C166" s="31">
        <v>45705</v>
      </c>
      <c r="D166">
        <v>51.213000000000001</v>
      </c>
      <c r="E166" t="str">
        <f t="shared" si="4"/>
        <v/>
      </c>
      <c r="F166" t="str">
        <f t="shared" si="5"/>
        <v/>
      </c>
    </row>
    <row r="167" spans="3:6" x14ac:dyDescent="0.25">
      <c r="C167" s="31">
        <v>45702</v>
      </c>
      <c r="D167">
        <v>51.192</v>
      </c>
      <c r="E167" t="str">
        <f t="shared" si="4"/>
        <v/>
      </c>
      <c r="F167" t="str">
        <f t="shared" si="5"/>
        <v/>
      </c>
    </row>
    <row r="168" spans="3:6" x14ac:dyDescent="0.25">
      <c r="C168" s="31">
        <v>45701</v>
      </c>
      <c r="D168">
        <v>51.625</v>
      </c>
      <c r="E168" t="str">
        <f t="shared" si="4"/>
        <v/>
      </c>
      <c r="F168" t="str">
        <f t="shared" si="5"/>
        <v/>
      </c>
    </row>
    <row r="169" spans="3:6" x14ac:dyDescent="0.25">
      <c r="C169" s="31">
        <v>45700</v>
      </c>
      <c r="D169">
        <v>52.58</v>
      </c>
      <c r="E169" t="str">
        <f t="shared" si="4"/>
        <v/>
      </c>
      <c r="F169" t="str">
        <f t="shared" si="5"/>
        <v/>
      </c>
    </row>
    <row r="170" spans="3:6" x14ac:dyDescent="0.25">
      <c r="C170" s="31">
        <v>45699</v>
      </c>
      <c r="D170">
        <v>53.128</v>
      </c>
      <c r="E170" t="str">
        <f t="shared" si="4"/>
        <v/>
      </c>
      <c r="F170" t="str">
        <f t="shared" si="5"/>
        <v/>
      </c>
    </row>
    <row r="171" spans="3:6" x14ac:dyDescent="0.25">
      <c r="C171" s="31">
        <v>45698</v>
      </c>
      <c r="D171">
        <v>53.110999999999997</v>
      </c>
      <c r="E171" t="str">
        <f t="shared" si="4"/>
        <v/>
      </c>
      <c r="F171" t="str">
        <f t="shared" si="5"/>
        <v/>
      </c>
    </row>
    <row r="172" spans="3:6" x14ac:dyDescent="0.25">
      <c r="C172" s="31">
        <v>45695</v>
      </c>
      <c r="D172">
        <v>53.933</v>
      </c>
      <c r="E172" t="str">
        <f t="shared" si="4"/>
        <v/>
      </c>
      <c r="F172" t="str">
        <f t="shared" si="5"/>
        <v/>
      </c>
    </row>
    <row r="173" spans="3:6" x14ac:dyDescent="0.25">
      <c r="C173" s="31">
        <v>45694</v>
      </c>
      <c r="D173">
        <v>52.73</v>
      </c>
      <c r="E173" t="str">
        <f t="shared" si="4"/>
        <v/>
      </c>
      <c r="F173" t="str">
        <f t="shared" si="5"/>
        <v/>
      </c>
    </row>
    <row r="174" spans="3:6" x14ac:dyDescent="0.25">
      <c r="C174" s="31">
        <v>45693</v>
      </c>
      <c r="D174">
        <v>53.442999999999998</v>
      </c>
      <c r="E174" t="str">
        <f t="shared" si="4"/>
        <v/>
      </c>
      <c r="F174" t="str">
        <f t="shared" si="5"/>
        <v/>
      </c>
    </row>
    <row r="175" spans="3:6" x14ac:dyDescent="0.25">
      <c r="C175" s="31">
        <v>45692</v>
      </c>
      <c r="D175">
        <v>53.905999999999999</v>
      </c>
      <c r="E175" t="str">
        <f t="shared" si="4"/>
        <v/>
      </c>
      <c r="F175" t="str">
        <f t="shared" si="5"/>
        <v/>
      </c>
    </row>
    <row r="176" spans="3:6" x14ac:dyDescent="0.25">
      <c r="C176" s="31">
        <v>45691</v>
      </c>
      <c r="D176">
        <v>54.692999999999998</v>
      </c>
      <c r="E176" t="str">
        <f t="shared" si="4"/>
        <v/>
      </c>
      <c r="F176" t="str">
        <f t="shared" si="5"/>
        <v/>
      </c>
    </row>
    <row r="177" spans="3:6" x14ac:dyDescent="0.25">
      <c r="C177" s="31">
        <v>45688</v>
      </c>
      <c r="D177">
        <v>53.113</v>
      </c>
      <c r="E177" t="str">
        <f t="shared" si="4"/>
        <v/>
      </c>
      <c r="F177" t="str">
        <f t="shared" si="5"/>
        <v/>
      </c>
    </row>
    <row r="178" spans="3:6" x14ac:dyDescent="0.25">
      <c r="C178" s="31">
        <v>45687</v>
      </c>
      <c r="D178">
        <v>52.98</v>
      </c>
      <c r="E178" t="str">
        <f t="shared" si="4"/>
        <v/>
      </c>
      <c r="F178" t="str">
        <f t="shared" si="5"/>
        <v/>
      </c>
    </row>
    <row r="179" spans="3:6" x14ac:dyDescent="0.25">
      <c r="C179" s="31">
        <v>45686</v>
      </c>
      <c r="D179">
        <v>53.645000000000003</v>
      </c>
      <c r="E179" t="str">
        <f t="shared" si="4"/>
        <v/>
      </c>
      <c r="F179" t="str">
        <f t="shared" si="5"/>
        <v/>
      </c>
    </row>
    <row r="180" spans="3:6" x14ac:dyDescent="0.25">
      <c r="C180" s="31">
        <v>45685</v>
      </c>
      <c r="D180">
        <v>53.881</v>
      </c>
      <c r="E180" t="str">
        <f t="shared" si="4"/>
        <v/>
      </c>
      <c r="F180" t="str">
        <f t="shared" si="5"/>
        <v/>
      </c>
    </row>
    <row r="181" spans="3:6" x14ac:dyDescent="0.25">
      <c r="C181" s="31">
        <v>45684</v>
      </c>
      <c r="D181">
        <v>54.441000000000003</v>
      </c>
      <c r="E181" t="str">
        <f t="shared" si="4"/>
        <v/>
      </c>
      <c r="F181" t="str">
        <f t="shared" si="5"/>
        <v/>
      </c>
    </row>
    <row r="182" spans="3:6" x14ac:dyDescent="0.25">
      <c r="C182" s="31">
        <v>45681</v>
      </c>
      <c r="D182">
        <v>53.198999999999998</v>
      </c>
      <c r="E182" t="str">
        <f t="shared" si="4"/>
        <v/>
      </c>
      <c r="F182" t="str">
        <f t="shared" si="5"/>
        <v/>
      </c>
    </row>
    <row r="183" spans="3:6" x14ac:dyDescent="0.25">
      <c r="C183" s="31">
        <v>45680</v>
      </c>
      <c r="D183">
        <v>53.43</v>
      </c>
      <c r="E183" t="str">
        <f t="shared" si="4"/>
        <v/>
      </c>
      <c r="F183" t="str">
        <f t="shared" si="5"/>
        <v/>
      </c>
    </row>
    <row r="184" spans="3:6" x14ac:dyDescent="0.25">
      <c r="C184" s="31">
        <v>45679</v>
      </c>
      <c r="D184">
        <v>53.375999999999998</v>
      </c>
      <c r="E184" t="str">
        <f t="shared" si="4"/>
        <v/>
      </c>
      <c r="F184" t="str">
        <f t="shared" si="5"/>
        <v/>
      </c>
    </row>
    <row r="185" spans="3:6" x14ac:dyDescent="0.25">
      <c r="C185" s="31">
        <v>45678</v>
      </c>
      <c r="D185">
        <v>54.052</v>
      </c>
      <c r="E185" t="str">
        <f t="shared" si="4"/>
        <v/>
      </c>
      <c r="F185" t="str">
        <f t="shared" si="5"/>
        <v/>
      </c>
    </row>
    <row r="186" spans="3:6" x14ac:dyDescent="0.25">
      <c r="C186" s="31">
        <v>45677</v>
      </c>
      <c r="D186">
        <v>54.386000000000003</v>
      </c>
      <c r="E186" t="str">
        <f t="shared" si="4"/>
        <v/>
      </c>
      <c r="F186" t="str">
        <f t="shared" si="5"/>
        <v/>
      </c>
    </row>
    <row r="187" spans="3:6" x14ac:dyDescent="0.25">
      <c r="C187" s="31">
        <v>45674</v>
      </c>
      <c r="D187">
        <v>54.6</v>
      </c>
      <c r="E187" t="str">
        <f t="shared" si="4"/>
        <v/>
      </c>
      <c r="F187" t="str">
        <f t="shared" si="5"/>
        <v/>
      </c>
    </row>
    <row r="188" spans="3:6" x14ac:dyDescent="0.25">
      <c r="C188" s="31">
        <v>45673</v>
      </c>
      <c r="D188">
        <v>55.46</v>
      </c>
      <c r="E188" t="str">
        <f t="shared" si="4"/>
        <v/>
      </c>
      <c r="F188" t="str">
        <f t="shared" si="5"/>
        <v/>
      </c>
    </row>
    <row r="189" spans="3:6" x14ac:dyDescent="0.25">
      <c r="C189" s="31">
        <v>45672</v>
      </c>
      <c r="D189">
        <v>56.012</v>
      </c>
      <c r="E189" t="str">
        <f t="shared" si="4"/>
        <v/>
      </c>
      <c r="F189" t="str">
        <f t="shared" si="5"/>
        <v/>
      </c>
    </row>
    <row r="190" spans="3:6" x14ac:dyDescent="0.25">
      <c r="C190" s="31">
        <v>45671</v>
      </c>
      <c r="D190">
        <v>58.674999999999997</v>
      </c>
      <c r="E190" t="str">
        <f t="shared" si="4"/>
        <v/>
      </c>
      <c r="F190" t="str">
        <f t="shared" si="5"/>
        <v/>
      </c>
    </row>
    <row r="191" spans="3:6" x14ac:dyDescent="0.25">
      <c r="C191" s="31">
        <v>45670</v>
      </c>
      <c r="D191">
        <v>59.319000000000003</v>
      </c>
      <c r="E191" t="str">
        <f t="shared" si="4"/>
        <v/>
      </c>
      <c r="F191" t="str">
        <f t="shared" si="5"/>
        <v/>
      </c>
    </row>
    <row r="192" spans="3:6" x14ac:dyDescent="0.25">
      <c r="C192" s="31">
        <v>45667</v>
      </c>
      <c r="D192">
        <v>58.316000000000003</v>
      </c>
      <c r="E192">
        <f t="shared" si="4"/>
        <v>1</v>
      </c>
      <c r="F192">
        <f t="shared" si="5"/>
        <v>58.316000000000003</v>
      </c>
    </row>
    <row r="193" spans="3:6" x14ac:dyDescent="0.25">
      <c r="C193" s="31">
        <v>45666</v>
      </c>
      <c r="D193">
        <v>57.34</v>
      </c>
      <c r="E193" t="str">
        <f t="shared" si="4"/>
        <v/>
      </c>
      <c r="F193" t="str">
        <f t="shared" si="5"/>
        <v/>
      </c>
    </row>
    <row r="194" spans="3:6" x14ac:dyDescent="0.25">
      <c r="C194" s="31">
        <v>45665</v>
      </c>
      <c r="D194">
        <v>57.642000000000003</v>
      </c>
      <c r="E194" t="str">
        <f t="shared" si="4"/>
        <v/>
      </c>
      <c r="F194" t="str">
        <f t="shared" si="5"/>
        <v/>
      </c>
    </row>
    <row r="195" spans="3:6" x14ac:dyDescent="0.25">
      <c r="C195" s="31">
        <v>45664</v>
      </c>
      <c r="D195">
        <v>55.859000000000002</v>
      </c>
      <c r="E195" t="str">
        <f t="shared" ref="E195:E198" si="6">IFERROR(VLOOKUP(C195,A:B,2, FALSE),"")</f>
        <v/>
      </c>
      <c r="F195" t="str">
        <f t="shared" ref="F195:F198" si="7">IF(E195=1,D195,"")</f>
        <v/>
      </c>
    </row>
    <row r="196" spans="3:6" x14ac:dyDescent="0.25">
      <c r="C196" s="31">
        <v>45663</v>
      </c>
      <c r="D196">
        <v>55.04</v>
      </c>
      <c r="E196" t="str">
        <f t="shared" si="6"/>
        <v/>
      </c>
      <c r="F196" t="str">
        <f t="shared" si="7"/>
        <v/>
      </c>
    </row>
    <row r="197" spans="3:6" x14ac:dyDescent="0.25">
      <c r="C197" s="31">
        <v>45660</v>
      </c>
      <c r="D197">
        <v>56.661999999999999</v>
      </c>
      <c r="E197" t="str">
        <f t="shared" si="6"/>
        <v/>
      </c>
      <c r="F197" t="str">
        <f t="shared" si="7"/>
        <v/>
      </c>
    </row>
    <row r="198" spans="3:6" x14ac:dyDescent="0.25">
      <c r="C198" s="31">
        <v>45659</v>
      </c>
      <c r="D198">
        <v>56.261000000000003</v>
      </c>
      <c r="E198" t="str">
        <f t="shared" si="6"/>
        <v/>
      </c>
      <c r="F198" t="str">
        <f t="shared" si="7"/>
        <v/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"/>
  <sheetViews>
    <sheetView workbookViewId="0">
      <selection activeCell="H40" sqref="H40"/>
    </sheetView>
  </sheetViews>
  <sheetFormatPr defaultRowHeight="15" x14ac:dyDescent="0.25"/>
  <cols>
    <col min="1" max="1" width="11.5703125" bestFit="1" customWidth="1"/>
    <col min="2" max="2" width="4" bestFit="1" customWidth="1"/>
    <col min="3" max="3" width="6.5703125" bestFit="1" customWidth="1"/>
    <col min="4" max="4" width="7.42578125" bestFit="1" customWidth="1"/>
    <col min="5" max="6" width="4" bestFit="1" customWidth="1"/>
    <col min="7" max="8" width="9.5703125" bestFit="1" customWidth="1"/>
    <col min="9" max="9" width="9.85546875" bestFit="1" customWidth="1"/>
    <col min="10" max="10" width="12" customWidth="1"/>
    <col min="11" max="11" width="13.28515625" customWidth="1"/>
    <col min="12" max="12" width="4.42578125" customWidth="1"/>
    <col min="13" max="13" width="10.42578125" bestFit="1" customWidth="1"/>
    <col min="14" max="14" width="6" bestFit="1" customWidth="1"/>
    <col min="15" max="15" width="9.5703125" bestFit="1" customWidth="1"/>
    <col min="16" max="16" width="2.85546875" customWidth="1"/>
    <col min="17" max="17" width="9.42578125" customWidth="1"/>
  </cols>
  <sheetData>
    <row r="1" spans="1:17" ht="15.75" thickBot="1" x14ac:dyDescent="0.3">
      <c r="A1" s="15"/>
      <c r="B1" s="38" t="s">
        <v>1772</v>
      </c>
      <c r="C1" s="39"/>
      <c r="D1" s="39"/>
      <c r="E1" s="39"/>
      <c r="F1" s="40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33.75" x14ac:dyDescent="0.25">
      <c r="A2" s="16" t="s">
        <v>159</v>
      </c>
      <c r="B2" s="16" t="s">
        <v>160</v>
      </c>
      <c r="C2" s="16" t="s">
        <v>161</v>
      </c>
      <c r="D2" s="16" t="s">
        <v>162</v>
      </c>
      <c r="E2" s="16" t="s">
        <v>163</v>
      </c>
      <c r="F2" s="16" t="s">
        <v>164</v>
      </c>
      <c r="G2" s="16" t="s">
        <v>165</v>
      </c>
      <c r="H2" s="16" t="s">
        <v>22</v>
      </c>
      <c r="I2" s="16" t="s">
        <v>1773</v>
      </c>
      <c r="J2" s="17" t="s">
        <v>1774</v>
      </c>
      <c r="K2" s="18" t="s">
        <v>1775</v>
      </c>
      <c r="L2" s="19"/>
      <c r="M2" s="16" t="s">
        <v>1776</v>
      </c>
      <c r="N2" s="13" t="s">
        <v>1777</v>
      </c>
      <c r="O2" s="16" t="s">
        <v>1778</v>
      </c>
      <c r="P2" s="20"/>
      <c r="Q2" s="21" t="s">
        <v>1779</v>
      </c>
    </row>
    <row r="3" spans="1:17" x14ac:dyDescent="0.25">
      <c r="A3" s="22" t="s">
        <v>35</v>
      </c>
      <c r="B3" s="23">
        <v>0</v>
      </c>
      <c r="C3" s="23">
        <v>16008</v>
      </c>
      <c r="D3" s="23">
        <v>-164605</v>
      </c>
      <c r="E3" s="23">
        <v>0</v>
      </c>
      <c r="F3" s="23">
        <v>0</v>
      </c>
      <c r="G3" s="23">
        <v>2788247</v>
      </c>
      <c r="H3" s="23">
        <v>28455292</v>
      </c>
      <c r="I3" s="23">
        <v>11927606</v>
      </c>
      <c r="J3" s="24">
        <v>-10480152.4907753</v>
      </c>
      <c r="K3" s="25">
        <f>I3+J3</f>
        <v>1447453.5092246998</v>
      </c>
      <c r="L3" s="15"/>
      <c r="M3" s="23">
        <v>758300000</v>
      </c>
      <c r="N3" s="14">
        <v>330</v>
      </c>
      <c r="O3" s="23">
        <f>(N3/10000)*M3*-1</f>
        <v>-25023900</v>
      </c>
      <c r="P3" s="15"/>
      <c r="Q3" s="26">
        <f>K3+O3</f>
        <v>-23576446.490775302</v>
      </c>
    </row>
    <row r="4" spans="1:17" x14ac:dyDescent="0.25">
      <c r="A4" s="22" t="s">
        <v>54</v>
      </c>
      <c r="B4" s="23">
        <v>0</v>
      </c>
      <c r="C4" s="23">
        <v>26332</v>
      </c>
      <c r="D4" s="23">
        <v>-248523</v>
      </c>
      <c r="E4" s="23">
        <v>0</v>
      </c>
      <c r="F4" s="23">
        <v>0</v>
      </c>
      <c r="G4" s="23">
        <v>-5553795</v>
      </c>
      <c r="H4" s="23">
        <v>10977352</v>
      </c>
      <c r="I4" s="23">
        <v>2571829</v>
      </c>
      <c r="J4" s="24">
        <v>980205.12697442516</v>
      </c>
      <c r="K4" s="25">
        <f>I4+J4</f>
        <v>3552034.1269744253</v>
      </c>
      <c r="L4" s="15"/>
      <c r="M4" s="23">
        <v>-248100000</v>
      </c>
      <c r="N4" s="14">
        <v>53</v>
      </c>
      <c r="O4" s="23">
        <f t="shared" ref="O4:O7" si="0">(N4/10000)*M4*-1</f>
        <v>1314930</v>
      </c>
      <c r="P4" s="15"/>
      <c r="Q4" s="26">
        <f t="shared" ref="Q4:Q7" si="1">K4+O4</f>
        <v>4866964.1269744253</v>
      </c>
    </row>
    <row r="5" spans="1:17" x14ac:dyDescent="0.25">
      <c r="A5" s="22" t="s">
        <v>31</v>
      </c>
      <c r="B5" s="23">
        <v>0</v>
      </c>
      <c r="C5" s="23">
        <v>0</v>
      </c>
      <c r="D5" s="23">
        <v>97682</v>
      </c>
      <c r="E5" s="23">
        <v>0</v>
      </c>
      <c r="F5" s="23">
        <v>0</v>
      </c>
      <c r="G5" s="23">
        <v>-11038899</v>
      </c>
      <c r="H5" s="23">
        <v>-8462962</v>
      </c>
      <c r="I5" s="23">
        <v>-1157479</v>
      </c>
      <c r="J5" s="24">
        <v>2046550.135722535</v>
      </c>
      <c r="K5" s="25">
        <f>I5+J5</f>
        <v>889071.13572253496</v>
      </c>
      <c r="L5" s="15"/>
      <c r="M5" s="23">
        <v>-636300000</v>
      </c>
      <c r="N5" s="14">
        <v>57</v>
      </c>
      <c r="O5" s="23">
        <f t="shared" si="0"/>
        <v>3626910</v>
      </c>
      <c r="P5" s="15"/>
      <c r="Q5" s="26">
        <f t="shared" si="1"/>
        <v>4515981.1357225347</v>
      </c>
    </row>
    <row r="6" spans="1:17" x14ac:dyDescent="0.25">
      <c r="A6" s="22" t="s">
        <v>43</v>
      </c>
      <c r="B6" s="23">
        <v>0</v>
      </c>
      <c r="C6" s="23">
        <v>2228</v>
      </c>
      <c r="D6" s="23">
        <v>76125</v>
      </c>
      <c r="E6" s="23">
        <v>0</v>
      </c>
      <c r="F6" s="23">
        <v>0</v>
      </c>
      <c r="G6" s="23">
        <v>-44547912</v>
      </c>
      <c r="H6" s="23">
        <v>-40740687</v>
      </c>
      <c r="I6" s="23">
        <v>-4499240</v>
      </c>
      <c r="J6" s="24">
        <v>5188650.2434937945</v>
      </c>
      <c r="K6" s="25">
        <f>I6+J6</f>
        <v>689410.24349379446</v>
      </c>
      <c r="L6" s="15"/>
      <c r="M6" s="23">
        <v>-287100000</v>
      </c>
      <c r="N6" s="14">
        <v>280</v>
      </c>
      <c r="O6" s="23">
        <f t="shared" ref="O6" si="2">(N6/10000)*M6*-1</f>
        <v>8038800</v>
      </c>
      <c r="P6" s="15"/>
      <c r="Q6" s="26">
        <f t="shared" ref="Q6" si="3">K6+O6</f>
        <v>8728210.2434937954</v>
      </c>
    </row>
    <row r="7" spans="1:17" x14ac:dyDescent="0.25">
      <c r="A7" s="22" t="s">
        <v>75</v>
      </c>
      <c r="B7" s="23">
        <v>0</v>
      </c>
      <c r="C7" s="23">
        <v>9206</v>
      </c>
      <c r="D7" s="23">
        <v>0</v>
      </c>
      <c r="E7" s="23">
        <v>0</v>
      </c>
      <c r="F7" s="23">
        <v>0</v>
      </c>
      <c r="G7" s="23">
        <v>-108802</v>
      </c>
      <c r="H7" s="23">
        <v>-108802</v>
      </c>
      <c r="I7" s="23">
        <v>-227500</v>
      </c>
      <c r="J7" s="24">
        <v>379512.31466331071</v>
      </c>
      <c r="K7" s="25">
        <f>I7+J7</f>
        <v>152012.31466331071</v>
      </c>
      <c r="L7" s="15"/>
      <c r="M7" s="23">
        <v>-50000000</v>
      </c>
      <c r="N7" s="14">
        <v>105</v>
      </c>
      <c r="O7" s="23">
        <f t="shared" si="0"/>
        <v>525000</v>
      </c>
      <c r="P7" s="15"/>
      <c r="Q7" s="26">
        <f t="shared" si="1"/>
        <v>677012.31466331077</v>
      </c>
    </row>
    <row r="8" spans="1:17" ht="15.75" thickBot="1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27"/>
      <c r="L8" s="15"/>
      <c r="M8" s="15"/>
      <c r="N8" s="15"/>
      <c r="O8" s="15"/>
      <c r="P8" s="15"/>
      <c r="Q8" s="27"/>
    </row>
    <row r="9" spans="1:17" ht="15.75" thickBot="1" x14ac:dyDescent="0.3">
      <c r="A9" s="15"/>
      <c r="B9" s="15"/>
      <c r="C9" s="15"/>
      <c r="D9" s="15"/>
      <c r="E9" s="15"/>
      <c r="F9" s="15"/>
      <c r="G9" s="15"/>
      <c r="H9" s="15"/>
      <c r="I9" s="15"/>
      <c r="J9" s="28" t="s">
        <v>1780</v>
      </c>
      <c r="K9" s="29">
        <f>SUM(K3:K7)</f>
        <v>6729981.3300787648</v>
      </c>
      <c r="L9" s="15"/>
      <c r="M9" s="15"/>
      <c r="N9" s="41" t="s">
        <v>1781</v>
      </c>
      <c r="O9" s="42"/>
      <c r="P9" s="43"/>
      <c r="Q9" s="30">
        <f>SUM(Q3:Q7)</f>
        <v>-4788278.6699212352</v>
      </c>
    </row>
  </sheetData>
  <mergeCells count="2">
    <mergeCell ref="B1:F1"/>
    <mergeCell ref="N9:P9"/>
  </mergeCells>
  <pageMargins left="0.75" right="0.75" top="1" bottom="1" header="0.5" footer="0.5"/>
  <pageSetup orientation="portrait" r:id="rId1"/>
  <headerFooter>
    <oddHeader>&amp;L&amp;"Calibri"&amp;10&amp;K000000 CPP Investments Classification: Internal 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78"/>
  <sheetViews>
    <sheetView workbookViewId="0"/>
  </sheetViews>
  <sheetFormatPr defaultRowHeight="15" x14ac:dyDescent="0.25"/>
  <cols>
    <col min="3" max="3" width="13.28515625" style="3" bestFit="1" customWidth="1"/>
  </cols>
  <sheetData>
    <row r="1" spans="1:5" x14ac:dyDescent="0.25">
      <c r="A1" s="1" t="s">
        <v>166</v>
      </c>
      <c r="B1" s="1" t="s">
        <v>167</v>
      </c>
      <c r="C1" s="32" t="s">
        <v>168</v>
      </c>
      <c r="D1" s="1" t="s">
        <v>169</v>
      </c>
      <c r="E1" s="1" t="s">
        <v>170</v>
      </c>
    </row>
    <row r="2" spans="1:5" x14ac:dyDescent="0.25">
      <c r="A2" t="s">
        <v>572</v>
      </c>
      <c r="B2">
        <v>-1591</v>
      </c>
      <c r="C2" s="3">
        <v>-3629000</v>
      </c>
      <c r="D2" t="s">
        <v>573</v>
      </c>
      <c r="E2" t="s">
        <v>574</v>
      </c>
    </row>
    <row r="3" spans="1:5" x14ac:dyDescent="0.25">
      <c r="A3" t="s">
        <v>1081</v>
      </c>
      <c r="B3">
        <v>-1591</v>
      </c>
      <c r="C3" s="3">
        <v>-3629000</v>
      </c>
      <c r="D3" t="s">
        <v>1082</v>
      </c>
      <c r="E3" t="s">
        <v>1083</v>
      </c>
    </row>
    <row r="4" spans="1:5" x14ac:dyDescent="0.25">
      <c r="A4" t="s">
        <v>1117</v>
      </c>
      <c r="B4">
        <v>-1591</v>
      </c>
      <c r="C4" s="3">
        <v>-3629000</v>
      </c>
      <c r="D4" t="s">
        <v>947</v>
      </c>
      <c r="E4" t="s">
        <v>948</v>
      </c>
    </row>
    <row r="5" spans="1:5" x14ac:dyDescent="0.25">
      <c r="A5" t="s">
        <v>1163</v>
      </c>
      <c r="B5">
        <v>-1591</v>
      </c>
      <c r="C5" s="3">
        <v>-3629000</v>
      </c>
      <c r="D5" t="s">
        <v>1164</v>
      </c>
      <c r="E5" t="s">
        <v>1165</v>
      </c>
    </row>
    <row r="6" spans="1:5" x14ac:dyDescent="0.25">
      <c r="A6" t="s">
        <v>1508</v>
      </c>
      <c r="B6">
        <v>-1591</v>
      </c>
      <c r="C6" s="3">
        <v>-3629000</v>
      </c>
      <c r="D6" t="s">
        <v>1509</v>
      </c>
      <c r="E6" t="s">
        <v>1510</v>
      </c>
    </row>
    <row r="7" spans="1:5" x14ac:dyDescent="0.25">
      <c r="A7" t="s">
        <v>219</v>
      </c>
      <c r="B7">
        <v>-1499</v>
      </c>
      <c r="C7" s="3">
        <v>-3379000</v>
      </c>
      <c r="D7" t="s">
        <v>220</v>
      </c>
      <c r="E7" t="s">
        <v>221</v>
      </c>
    </row>
    <row r="8" spans="1:5" x14ac:dyDescent="0.25">
      <c r="A8" t="s">
        <v>228</v>
      </c>
      <c r="B8">
        <v>-1499</v>
      </c>
      <c r="C8" s="3">
        <v>-3379000</v>
      </c>
      <c r="D8" t="s">
        <v>229</v>
      </c>
      <c r="E8" t="s">
        <v>230</v>
      </c>
    </row>
    <row r="9" spans="1:5" x14ac:dyDescent="0.25">
      <c r="A9" t="s">
        <v>303</v>
      </c>
      <c r="B9">
        <v>-1499</v>
      </c>
      <c r="C9" s="3">
        <v>-3379000</v>
      </c>
      <c r="D9" t="s">
        <v>304</v>
      </c>
      <c r="E9" t="s">
        <v>305</v>
      </c>
    </row>
    <row r="10" spans="1:5" x14ac:dyDescent="0.25">
      <c r="A10" t="s">
        <v>330</v>
      </c>
      <c r="B10">
        <v>-1499</v>
      </c>
      <c r="C10" s="3">
        <v>-3379000</v>
      </c>
      <c r="D10" t="s">
        <v>331</v>
      </c>
      <c r="E10" t="s">
        <v>332</v>
      </c>
    </row>
    <row r="11" spans="1:5" x14ac:dyDescent="0.25">
      <c r="A11" t="s">
        <v>348</v>
      </c>
      <c r="B11">
        <v>-1499</v>
      </c>
      <c r="C11" s="3">
        <v>-3379000</v>
      </c>
      <c r="D11" t="s">
        <v>349</v>
      </c>
      <c r="E11" t="s">
        <v>350</v>
      </c>
    </row>
    <row r="12" spans="1:5" x14ac:dyDescent="0.25">
      <c r="A12" t="s">
        <v>354</v>
      </c>
      <c r="B12">
        <v>-1499</v>
      </c>
      <c r="C12" s="3">
        <v>-3379000</v>
      </c>
      <c r="D12" t="s">
        <v>355</v>
      </c>
      <c r="E12" t="s">
        <v>356</v>
      </c>
    </row>
    <row r="13" spans="1:5" x14ac:dyDescent="0.25">
      <c r="A13" t="s">
        <v>357</v>
      </c>
      <c r="B13">
        <v>-1499</v>
      </c>
      <c r="C13" s="3">
        <v>-3379000</v>
      </c>
      <c r="D13" t="s">
        <v>358</v>
      </c>
      <c r="E13" t="s">
        <v>359</v>
      </c>
    </row>
    <row r="14" spans="1:5" x14ac:dyDescent="0.25">
      <c r="A14" t="s">
        <v>387</v>
      </c>
      <c r="B14">
        <v>-1499</v>
      </c>
      <c r="C14" s="3">
        <v>-3379000</v>
      </c>
      <c r="D14" t="s">
        <v>388</v>
      </c>
      <c r="E14" t="s">
        <v>389</v>
      </c>
    </row>
    <row r="15" spans="1:5" x14ac:dyDescent="0.25">
      <c r="A15" t="s">
        <v>390</v>
      </c>
      <c r="B15">
        <v>-1499</v>
      </c>
      <c r="C15" s="3">
        <v>-3379000</v>
      </c>
      <c r="D15" t="s">
        <v>391</v>
      </c>
      <c r="E15" t="s">
        <v>392</v>
      </c>
    </row>
    <row r="16" spans="1:5" x14ac:dyDescent="0.25">
      <c r="A16" t="s">
        <v>429</v>
      </c>
      <c r="B16">
        <v>-1499</v>
      </c>
      <c r="C16" s="3">
        <v>-3379000</v>
      </c>
      <c r="D16" t="s">
        <v>430</v>
      </c>
      <c r="E16" t="s">
        <v>431</v>
      </c>
    </row>
    <row r="17" spans="1:5" x14ac:dyDescent="0.25">
      <c r="A17" t="s">
        <v>444</v>
      </c>
      <c r="B17">
        <v>-1499</v>
      </c>
      <c r="C17" s="3">
        <v>-3379000</v>
      </c>
      <c r="E17" t="s">
        <v>445</v>
      </c>
    </row>
    <row r="18" spans="1:5" x14ac:dyDescent="0.25">
      <c r="A18" t="s">
        <v>479</v>
      </c>
      <c r="B18">
        <v>-1499</v>
      </c>
      <c r="C18" s="3">
        <v>-3379000</v>
      </c>
      <c r="D18" t="s">
        <v>480</v>
      </c>
      <c r="E18" t="s">
        <v>481</v>
      </c>
    </row>
    <row r="19" spans="1:5" x14ac:dyDescent="0.25">
      <c r="A19" t="s">
        <v>515</v>
      </c>
      <c r="B19">
        <v>-1499</v>
      </c>
      <c r="C19" s="3">
        <v>-3379000</v>
      </c>
      <c r="D19" t="s">
        <v>516</v>
      </c>
      <c r="E19" t="s">
        <v>517</v>
      </c>
    </row>
    <row r="20" spans="1:5" x14ac:dyDescent="0.25">
      <c r="A20" t="s">
        <v>536</v>
      </c>
      <c r="B20">
        <v>-1499</v>
      </c>
      <c r="C20" s="3">
        <v>-3379000</v>
      </c>
      <c r="D20" t="s">
        <v>537</v>
      </c>
      <c r="E20" t="s">
        <v>538</v>
      </c>
    </row>
    <row r="21" spans="1:5" x14ac:dyDescent="0.25">
      <c r="A21" t="s">
        <v>539</v>
      </c>
      <c r="B21">
        <v>-1499</v>
      </c>
      <c r="C21" s="3">
        <v>-3379000</v>
      </c>
      <c r="D21" t="s">
        <v>540</v>
      </c>
      <c r="E21" t="s">
        <v>541</v>
      </c>
    </row>
    <row r="22" spans="1:5" x14ac:dyDescent="0.25">
      <c r="A22" t="s">
        <v>596</v>
      </c>
      <c r="B22">
        <v>-1499</v>
      </c>
      <c r="C22" s="3">
        <v>-3379000</v>
      </c>
      <c r="D22" t="s">
        <v>597</v>
      </c>
      <c r="E22" t="s">
        <v>598</v>
      </c>
    </row>
    <row r="23" spans="1:5" x14ac:dyDescent="0.25">
      <c r="A23" t="s">
        <v>599</v>
      </c>
      <c r="B23">
        <v>-1499</v>
      </c>
      <c r="C23" s="3">
        <v>-3379000</v>
      </c>
      <c r="D23" t="s">
        <v>600</v>
      </c>
      <c r="E23" t="s">
        <v>601</v>
      </c>
    </row>
    <row r="24" spans="1:5" x14ac:dyDescent="0.25">
      <c r="A24" t="s">
        <v>614</v>
      </c>
      <c r="B24">
        <v>-1499</v>
      </c>
      <c r="C24" s="3">
        <v>-3379000</v>
      </c>
      <c r="D24" t="s">
        <v>615</v>
      </c>
      <c r="E24" t="s">
        <v>616</v>
      </c>
    </row>
    <row r="25" spans="1:5" x14ac:dyDescent="0.25">
      <c r="A25" t="s">
        <v>620</v>
      </c>
      <c r="B25">
        <v>-1499</v>
      </c>
      <c r="C25" s="3">
        <v>-3379000</v>
      </c>
      <c r="D25" t="s">
        <v>621</v>
      </c>
      <c r="E25" t="s">
        <v>622</v>
      </c>
    </row>
    <row r="26" spans="1:5" x14ac:dyDescent="0.25">
      <c r="A26" t="s">
        <v>632</v>
      </c>
      <c r="B26">
        <v>-1499</v>
      </c>
      <c r="C26" s="3">
        <v>-3379000</v>
      </c>
      <c r="D26" t="s">
        <v>633</v>
      </c>
      <c r="E26" t="s">
        <v>634</v>
      </c>
    </row>
    <row r="27" spans="1:5" x14ac:dyDescent="0.25">
      <c r="A27" t="s">
        <v>635</v>
      </c>
      <c r="B27">
        <v>-1499</v>
      </c>
      <c r="C27" s="3">
        <v>-3379000</v>
      </c>
      <c r="D27" t="s">
        <v>636</v>
      </c>
      <c r="E27" t="s">
        <v>637</v>
      </c>
    </row>
    <row r="28" spans="1:5" x14ac:dyDescent="0.25">
      <c r="A28" t="s">
        <v>650</v>
      </c>
      <c r="B28">
        <v>-1499</v>
      </c>
      <c r="C28" s="3">
        <v>-3379000</v>
      </c>
      <c r="D28" t="s">
        <v>651</v>
      </c>
      <c r="E28" t="s">
        <v>652</v>
      </c>
    </row>
    <row r="29" spans="1:5" x14ac:dyDescent="0.25">
      <c r="A29" t="s">
        <v>665</v>
      </c>
      <c r="B29">
        <v>-1499</v>
      </c>
      <c r="C29" s="3">
        <v>-3379000</v>
      </c>
      <c r="D29" t="s">
        <v>666</v>
      </c>
      <c r="E29" t="s">
        <v>667</v>
      </c>
    </row>
    <row r="30" spans="1:5" x14ac:dyDescent="0.25">
      <c r="A30" t="s">
        <v>717</v>
      </c>
      <c r="B30">
        <v>-1499</v>
      </c>
      <c r="C30" s="3">
        <v>-3379000</v>
      </c>
      <c r="D30" t="s">
        <v>718</v>
      </c>
      <c r="E30" t="s">
        <v>719</v>
      </c>
    </row>
    <row r="31" spans="1:5" x14ac:dyDescent="0.25">
      <c r="A31" t="s">
        <v>720</v>
      </c>
      <c r="B31">
        <v>-1499</v>
      </c>
      <c r="C31" s="3">
        <v>-3379000</v>
      </c>
      <c r="D31" t="s">
        <v>721</v>
      </c>
      <c r="E31" t="s">
        <v>722</v>
      </c>
    </row>
    <row r="32" spans="1:5" x14ac:dyDescent="0.25">
      <c r="A32" t="s">
        <v>729</v>
      </c>
      <c r="B32">
        <v>-1499</v>
      </c>
      <c r="C32" s="3">
        <v>-3379000</v>
      </c>
      <c r="D32" t="s">
        <v>730</v>
      </c>
      <c r="E32" t="s">
        <v>731</v>
      </c>
    </row>
    <row r="33" spans="1:5" x14ac:dyDescent="0.25">
      <c r="A33" t="s">
        <v>747</v>
      </c>
      <c r="B33">
        <v>-1499</v>
      </c>
      <c r="C33" s="3">
        <v>-3379000</v>
      </c>
      <c r="D33" t="s">
        <v>748</v>
      </c>
      <c r="E33" t="s">
        <v>749</v>
      </c>
    </row>
    <row r="34" spans="1:5" x14ac:dyDescent="0.25">
      <c r="A34" t="s">
        <v>771</v>
      </c>
      <c r="B34">
        <v>-1499</v>
      </c>
      <c r="C34" s="3">
        <v>-3379000</v>
      </c>
      <c r="D34" t="s">
        <v>772</v>
      </c>
      <c r="E34" t="s">
        <v>773</v>
      </c>
    </row>
    <row r="35" spans="1:5" x14ac:dyDescent="0.25">
      <c r="A35" t="s">
        <v>783</v>
      </c>
      <c r="B35">
        <v>-1499</v>
      </c>
      <c r="C35" s="3">
        <v>-3379000</v>
      </c>
      <c r="D35" t="s">
        <v>784</v>
      </c>
      <c r="E35" t="s">
        <v>785</v>
      </c>
    </row>
    <row r="36" spans="1:5" x14ac:dyDescent="0.25">
      <c r="A36" t="s">
        <v>786</v>
      </c>
      <c r="B36">
        <v>-1499</v>
      </c>
      <c r="C36" s="3">
        <v>-3379000</v>
      </c>
      <c r="D36" t="s">
        <v>787</v>
      </c>
      <c r="E36" t="s">
        <v>788</v>
      </c>
    </row>
    <row r="37" spans="1:5" x14ac:dyDescent="0.25">
      <c r="A37" t="s">
        <v>798</v>
      </c>
      <c r="B37">
        <v>-1499</v>
      </c>
      <c r="C37" s="3">
        <v>-3379000</v>
      </c>
      <c r="D37" t="s">
        <v>799</v>
      </c>
      <c r="E37" t="s">
        <v>800</v>
      </c>
    </row>
    <row r="38" spans="1:5" x14ac:dyDescent="0.25">
      <c r="A38" t="s">
        <v>807</v>
      </c>
      <c r="B38">
        <v>-1499</v>
      </c>
      <c r="C38" s="3">
        <v>-3379000</v>
      </c>
      <c r="D38" t="s">
        <v>808</v>
      </c>
      <c r="E38" t="s">
        <v>809</v>
      </c>
    </row>
    <row r="39" spans="1:5" x14ac:dyDescent="0.25">
      <c r="A39" t="s">
        <v>822</v>
      </c>
      <c r="B39">
        <v>-1499</v>
      </c>
      <c r="C39" s="3">
        <v>-3379000</v>
      </c>
      <c r="D39" t="s">
        <v>823</v>
      </c>
      <c r="E39" t="s">
        <v>824</v>
      </c>
    </row>
    <row r="40" spans="1:5" x14ac:dyDescent="0.25">
      <c r="A40" t="s">
        <v>841</v>
      </c>
      <c r="B40">
        <v>-1499</v>
      </c>
      <c r="C40" s="3">
        <v>-3379000</v>
      </c>
      <c r="D40" t="s">
        <v>842</v>
      </c>
      <c r="E40" t="s">
        <v>843</v>
      </c>
    </row>
    <row r="41" spans="1:5" x14ac:dyDescent="0.25">
      <c r="A41" t="s">
        <v>883</v>
      </c>
      <c r="B41">
        <v>-1499</v>
      </c>
      <c r="C41" s="3">
        <v>-3379000</v>
      </c>
      <c r="D41" t="s">
        <v>884</v>
      </c>
      <c r="E41" t="s">
        <v>885</v>
      </c>
    </row>
    <row r="42" spans="1:5" x14ac:dyDescent="0.25">
      <c r="A42" t="s">
        <v>886</v>
      </c>
      <c r="B42">
        <v>-1499</v>
      </c>
      <c r="C42" s="3">
        <v>-3379000</v>
      </c>
      <c r="D42" t="s">
        <v>887</v>
      </c>
      <c r="E42" t="s">
        <v>888</v>
      </c>
    </row>
    <row r="43" spans="1:5" x14ac:dyDescent="0.25">
      <c r="A43" t="s">
        <v>892</v>
      </c>
      <c r="B43">
        <v>-1499</v>
      </c>
      <c r="C43" s="3">
        <v>-3379000</v>
      </c>
      <c r="D43" t="s">
        <v>893</v>
      </c>
      <c r="E43" t="s">
        <v>894</v>
      </c>
    </row>
    <row r="44" spans="1:5" x14ac:dyDescent="0.25">
      <c r="A44" t="s">
        <v>895</v>
      </c>
      <c r="B44">
        <v>-1499</v>
      </c>
      <c r="C44" s="3">
        <v>-3379000</v>
      </c>
      <c r="D44" t="s">
        <v>896</v>
      </c>
      <c r="E44" t="s">
        <v>897</v>
      </c>
    </row>
    <row r="45" spans="1:5" x14ac:dyDescent="0.25">
      <c r="A45" t="s">
        <v>898</v>
      </c>
      <c r="B45">
        <v>-1499</v>
      </c>
      <c r="C45" s="3">
        <v>-3379000</v>
      </c>
      <c r="D45" t="s">
        <v>899</v>
      </c>
      <c r="E45" t="s">
        <v>900</v>
      </c>
    </row>
    <row r="46" spans="1:5" x14ac:dyDescent="0.25">
      <c r="A46" t="s">
        <v>916</v>
      </c>
      <c r="B46">
        <v>-1499</v>
      </c>
      <c r="C46" s="3">
        <v>-3379000</v>
      </c>
      <c r="D46" t="s">
        <v>917</v>
      </c>
      <c r="E46" t="s">
        <v>918</v>
      </c>
    </row>
    <row r="47" spans="1:5" x14ac:dyDescent="0.25">
      <c r="A47" t="s">
        <v>922</v>
      </c>
      <c r="B47">
        <v>-1499</v>
      </c>
      <c r="C47" s="3">
        <v>-3379000</v>
      </c>
      <c r="D47" t="s">
        <v>923</v>
      </c>
      <c r="E47" t="s">
        <v>924</v>
      </c>
    </row>
    <row r="48" spans="1:5" x14ac:dyDescent="0.25">
      <c r="A48" t="s">
        <v>925</v>
      </c>
      <c r="B48">
        <v>-1499</v>
      </c>
      <c r="C48" s="3">
        <v>-3379000</v>
      </c>
      <c r="D48" t="s">
        <v>926</v>
      </c>
      <c r="E48" t="s">
        <v>927</v>
      </c>
    </row>
    <row r="49" spans="1:5" x14ac:dyDescent="0.25">
      <c r="A49" t="s">
        <v>931</v>
      </c>
      <c r="B49">
        <v>-1499</v>
      </c>
      <c r="C49" s="3">
        <v>-3379000</v>
      </c>
      <c r="D49" t="s">
        <v>932</v>
      </c>
      <c r="E49" t="s">
        <v>933</v>
      </c>
    </row>
    <row r="50" spans="1:5" x14ac:dyDescent="0.25">
      <c r="A50" t="s">
        <v>940</v>
      </c>
      <c r="B50">
        <v>-1499</v>
      </c>
      <c r="C50" s="3">
        <v>-3379000</v>
      </c>
      <c r="D50" t="s">
        <v>941</v>
      </c>
      <c r="E50" t="s">
        <v>942</v>
      </c>
    </row>
    <row r="51" spans="1:5" x14ac:dyDescent="0.25">
      <c r="A51" t="s">
        <v>943</v>
      </c>
      <c r="B51">
        <v>-1499</v>
      </c>
      <c r="C51" s="3">
        <v>-3379000</v>
      </c>
      <c r="D51" t="s">
        <v>944</v>
      </c>
      <c r="E51" t="s">
        <v>945</v>
      </c>
    </row>
    <row r="52" spans="1:5" x14ac:dyDescent="0.25">
      <c r="A52" t="s">
        <v>949</v>
      </c>
      <c r="B52">
        <v>-1499</v>
      </c>
      <c r="C52" s="3">
        <v>-3379000</v>
      </c>
      <c r="D52" t="s">
        <v>950</v>
      </c>
      <c r="E52" t="s">
        <v>951</v>
      </c>
    </row>
    <row r="53" spans="1:5" x14ac:dyDescent="0.25">
      <c r="A53" t="s">
        <v>952</v>
      </c>
      <c r="B53">
        <v>-1499</v>
      </c>
      <c r="C53" s="3">
        <v>-3379000</v>
      </c>
      <c r="D53" t="s">
        <v>953</v>
      </c>
      <c r="E53" t="s">
        <v>954</v>
      </c>
    </row>
    <row r="54" spans="1:5" x14ac:dyDescent="0.25">
      <c r="A54" t="s">
        <v>955</v>
      </c>
      <c r="B54">
        <v>-1499</v>
      </c>
      <c r="C54" s="3">
        <v>-3379000</v>
      </c>
      <c r="D54" t="s">
        <v>956</v>
      </c>
      <c r="E54" t="s">
        <v>957</v>
      </c>
    </row>
    <row r="55" spans="1:5" x14ac:dyDescent="0.25">
      <c r="A55" t="s">
        <v>984</v>
      </c>
      <c r="B55">
        <v>-1499</v>
      </c>
      <c r="C55" s="3">
        <v>-3379000</v>
      </c>
      <c r="D55" t="s">
        <v>842</v>
      </c>
      <c r="E55" t="s">
        <v>985</v>
      </c>
    </row>
    <row r="56" spans="1:5" x14ac:dyDescent="0.25">
      <c r="A56" t="s">
        <v>998</v>
      </c>
      <c r="B56">
        <v>-1499</v>
      </c>
      <c r="C56" s="3">
        <v>-3379000</v>
      </c>
      <c r="D56" t="s">
        <v>999</v>
      </c>
      <c r="E56" t="s">
        <v>1000</v>
      </c>
    </row>
    <row r="57" spans="1:5" x14ac:dyDescent="0.25">
      <c r="A57" t="s">
        <v>1023</v>
      </c>
      <c r="B57">
        <v>-1499</v>
      </c>
      <c r="C57" s="3">
        <v>-3379000</v>
      </c>
      <c r="D57" t="s">
        <v>1024</v>
      </c>
      <c r="E57" t="s">
        <v>1025</v>
      </c>
    </row>
    <row r="58" spans="1:5" x14ac:dyDescent="0.25">
      <c r="A58" t="s">
        <v>1044</v>
      </c>
      <c r="B58">
        <v>-1499</v>
      </c>
      <c r="C58" s="3">
        <v>-3379000</v>
      </c>
      <c r="D58" t="s">
        <v>1045</v>
      </c>
      <c r="E58" t="s">
        <v>1046</v>
      </c>
    </row>
    <row r="59" spans="1:5" x14ac:dyDescent="0.25">
      <c r="A59" t="s">
        <v>1108</v>
      </c>
      <c r="B59">
        <v>-1499</v>
      </c>
      <c r="C59" s="3">
        <v>-3379000</v>
      </c>
      <c r="D59" t="s">
        <v>1109</v>
      </c>
      <c r="E59" t="s">
        <v>1110</v>
      </c>
    </row>
    <row r="60" spans="1:5" x14ac:dyDescent="0.25">
      <c r="A60" t="s">
        <v>1121</v>
      </c>
      <c r="B60">
        <v>-1499</v>
      </c>
      <c r="C60" s="3">
        <v>-3379000</v>
      </c>
      <c r="D60" t="s">
        <v>1122</v>
      </c>
      <c r="E60" t="s">
        <v>1123</v>
      </c>
    </row>
    <row r="61" spans="1:5" x14ac:dyDescent="0.25">
      <c r="A61" t="s">
        <v>1124</v>
      </c>
      <c r="B61">
        <v>-1499</v>
      </c>
      <c r="C61" s="3">
        <v>-3379000</v>
      </c>
      <c r="D61" t="s">
        <v>1125</v>
      </c>
      <c r="E61" t="s">
        <v>1126</v>
      </c>
    </row>
    <row r="62" spans="1:5" x14ac:dyDescent="0.25">
      <c r="A62" t="s">
        <v>1130</v>
      </c>
      <c r="B62">
        <v>-1499</v>
      </c>
      <c r="C62" s="3">
        <v>-3379000</v>
      </c>
      <c r="D62" t="s">
        <v>1131</v>
      </c>
      <c r="E62" t="s">
        <v>1132</v>
      </c>
    </row>
    <row r="63" spans="1:5" x14ac:dyDescent="0.25">
      <c r="A63" t="s">
        <v>1133</v>
      </c>
      <c r="B63">
        <v>-1499</v>
      </c>
      <c r="C63" s="3">
        <v>-3379000</v>
      </c>
      <c r="D63" t="s">
        <v>1134</v>
      </c>
      <c r="E63" t="s">
        <v>1135</v>
      </c>
    </row>
    <row r="64" spans="1:5" x14ac:dyDescent="0.25">
      <c r="A64" t="s">
        <v>1142</v>
      </c>
      <c r="B64">
        <v>-1499</v>
      </c>
      <c r="C64" s="3">
        <v>-3379000</v>
      </c>
      <c r="D64" t="s">
        <v>1143</v>
      </c>
      <c r="E64" t="s">
        <v>1144</v>
      </c>
    </row>
    <row r="65" spans="1:5" x14ac:dyDescent="0.25">
      <c r="A65" t="s">
        <v>1145</v>
      </c>
      <c r="B65">
        <v>-1499</v>
      </c>
      <c r="C65" s="3">
        <v>-3379000</v>
      </c>
      <c r="D65" t="s">
        <v>1146</v>
      </c>
      <c r="E65" t="s">
        <v>1147</v>
      </c>
    </row>
    <row r="66" spans="1:5" x14ac:dyDescent="0.25">
      <c r="A66" t="s">
        <v>1148</v>
      </c>
      <c r="B66">
        <v>-1499</v>
      </c>
      <c r="C66" s="3">
        <v>-3379000</v>
      </c>
      <c r="D66" t="s">
        <v>1149</v>
      </c>
      <c r="E66" t="s">
        <v>1150</v>
      </c>
    </row>
    <row r="67" spans="1:5" x14ac:dyDescent="0.25">
      <c r="A67" t="s">
        <v>1154</v>
      </c>
      <c r="B67">
        <v>-1499</v>
      </c>
      <c r="C67" s="3">
        <v>-3379000</v>
      </c>
      <c r="D67" t="s">
        <v>1155</v>
      </c>
      <c r="E67" t="s">
        <v>1156</v>
      </c>
    </row>
    <row r="68" spans="1:5" x14ac:dyDescent="0.25">
      <c r="A68" t="s">
        <v>1181</v>
      </c>
      <c r="B68">
        <v>-1499</v>
      </c>
      <c r="C68" s="3">
        <v>-3379000</v>
      </c>
      <c r="D68" t="s">
        <v>1182</v>
      </c>
      <c r="E68" t="s">
        <v>1183</v>
      </c>
    </row>
    <row r="69" spans="1:5" x14ac:dyDescent="0.25">
      <c r="A69" t="s">
        <v>1184</v>
      </c>
      <c r="B69">
        <v>-1499</v>
      </c>
      <c r="C69" s="3">
        <v>-3379000</v>
      </c>
      <c r="D69" t="s">
        <v>1185</v>
      </c>
      <c r="E69" t="s">
        <v>1186</v>
      </c>
    </row>
    <row r="70" spans="1:5" x14ac:dyDescent="0.25">
      <c r="A70" t="s">
        <v>1187</v>
      </c>
      <c r="B70">
        <v>-1499</v>
      </c>
      <c r="C70" s="3">
        <v>-3379000</v>
      </c>
      <c r="D70" t="s">
        <v>1188</v>
      </c>
      <c r="E70" t="s">
        <v>1189</v>
      </c>
    </row>
    <row r="71" spans="1:5" x14ac:dyDescent="0.25">
      <c r="A71" t="s">
        <v>1233</v>
      </c>
      <c r="B71">
        <v>-1499</v>
      </c>
      <c r="C71" s="3">
        <v>-3379000</v>
      </c>
      <c r="D71" t="s">
        <v>1234</v>
      </c>
      <c r="E71" t="s">
        <v>1235</v>
      </c>
    </row>
    <row r="72" spans="1:5" x14ac:dyDescent="0.25">
      <c r="A72" t="s">
        <v>1245</v>
      </c>
      <c r="B72">
        <v>-1499</v>
      </c>
      <c r="C72" s="3">
        <v>-3379000</v>
      </c>
      <c r="D72" t="s">
        <v>1246</v>
      </c>
      <c r="E72" t="s">
        <v>1247</v>
      </c>
    </row>
    <row r="73" spans="1:5" x14ac:dyDescent="0.25">
      <c r="A73" t="s">
        <v>1248</v>
      </c>
      <c r="B73">
        <v>-1499</v>
      </c>
      <c r="C73" s="3">
        <v>-3379000</v>
      </c>
      <c r="D73" t="s">
        <v>1249</v>
      </c>
      <c r="E73" t="s">
        <v>1250</v>
      </c>
    </row>
    <row r="74" spans="1:5" x14ac:dyDescent="0.25">
      <c r="A74" t="s">
        <v>1254</v>
      </c>
      <c r="B74">
        <v>-1499</v>
      </c>
      <c r="C74" s="3">
        <v>-3379000</v>
      </c>
      <c r="D74" t="s">
        <v>1255</v>
      </c>
      <c r="E74" t="s">
        <v>1256</v>
      </c>
    </row>
    <row r="75" spans="1:5" x14ac:dyDescent="0.25">
      <c r="A75" t="s">
        <v>1330</v>
      </c>
      <c r="B75">
        <v>-1499</v>
      </c>
      <c r="C75" s="3">
        <v>-3379000</v>
      </c>
      <c r="D75" t="s">
        <v>1331</v>
      </c>
      <c r="E75" t="s">
        <v>1332</v>
      </c>
    </row>
    <row r="76" spans="1:5" x14ac:dyDescent="0.25">
      <c r="A76" t="s">
        <v>1340</v>
      </c>
      <c r="B76">
        <v>-1499</v>
      </c>
      <c r="C76" s="3">
        <v>-3379000</v>
      </c>
      <c r="D76" t="s">
        <v>1341</v>
      </c>
      <c r="E76" t="s">
        <v>1342</v>
      </c>
    </row>
    <row r="77" spans="1:5" x14ac:dyDescent="0.25">
      <c r="A77" t="s">
        <v>1348</v>
      </c>
      <c r="B77">
        <v>-1499</v>
      </c>
      <c r="C77" s="3">
        <v>-3379000</v>
      </c>
      <c r="D77" t="s">
        <v>1349</v>
      </c>
      <c r="E77" t="s">
        <v>1350</v>
      </c>
    </row>
    <row r="78" spans="1:5" x14ac:dyDescent="0.25">
      <c r="A78" t="s">
        <v>1360</v>
      </c>
      <c r="B78">
        <v>-1499</v>
      </c>
      <c r="C78" s="3">
        <v>-3379000</v>
      </c>
      <c r="D78" t="s">
        <v>1361</v>
      </c>
      <c r="E78" t="s">
        <v>1362</v>
      </c>
    </row>
    <row r="79" spans="1:5" x14ac:dyDescent="0.25">
      <c r="A79" t="s">
        <v>1363</v>
      </c>
      <c r="B79">
        <v>-1499</v>
      </c>
      <c r="C79" s="3">
        <v>-3379000</v>
      </c>
      <c r="D79" t="s">
        <v>1364</v>
      </c>
      <c r="E79" t="s">
        <v>1365</v>
      </c>
    </row>
    <row r="80" spans="1:5" x14ac:dyDescent="0.25">
      <c r="A80" t="s">
        <v>1390</v>
      </c>
      <c r="B80">
        <v>-1499</v>
      </c>
      <c r="C80" s="3">
        <v>-3379000</v>
      </c>
      <c r="D80" t="s">
        <v>1391</v>
      </c>
      <c r="E80" t="s">
        <v>1392</v>
      </c>
    </row>
    <row r="81" spans="1:5" x14ac:dyDescent="0.25">
      <c r="A81" t="s">
        <v>1393</v>
      </c>
      <c r="B81">
        <v>-1499</v>
      </c>
      <c r="C81" s="3">
        <v>-3379000</v>
      </c>
      <c r="D81" t="s">
        <v>1394</v>
      </c>
      <c r="E81" t="s">
        <v>1395</v>
      </c>
    </row>
    <row r="82" spans="1:5" x14ac:dyDescent="0.25">
      <c r="A82" t="s">
        <v>1396</v>
      </c>
      <c r="B82">
        <v>-1499</v>
      </c>
      <c r="C82" s="3">
        <v>-3379000</v>
      </c>
      <c r="D82" t="s">
        <v>1397</v>
      </c>
      <c r="E82" t="s">
        <v>1398</v>
      </c>
    </row>
    <row r="83" spans="1:5" x14ac:dyDescent="0.25">
      <c r="A83" t="s">
        <v>1406</v>
      </c>
      <c r="B83">
        <v>-1499</v>
      </c>
      <c r="C83" s="3">
        <v>-3379000</v>
      </c>
      <c r="D83" t="s">
        <v>1407</v>
      </c>
      <c r="E83" t="s">
        <v>1408</v>
      </c>
    </row>
    <row r="84" spans="1:5" x14ac:dyDescent="0.25">
      <c r="A84" t="s">
        <v>1409</v>
      </c>
      <c r="B84">
        <v>-1499</v>
      </c>
      <c r="C84" s="3">
        <v>-3379000</v>
      </c>
      <c r="D84" t="s">
        <v>1410</v>
      </c>
      <c r="E84" t="s">
        <v>1411</v>
      </c>
    </row>
    <row r="85" spans="1:5" x14ac:dyDescent="0.25">
      <c r="A85" t="s">
        <v>1412</v>
      </c>
      <c r="B85">
        <v>-1499</v>
      </c>
      <c r="C85" s="3">
        <v>-3379000</v>
      </c>
      <c r="D85" t="s">
        <v>1413</v>
      </c>
      <c r="E85" t="s">
        <v>1414</v>
      </c>
    </row>
    <row r="86" spans="1:5" x14ac:dyDescent="0.25">
      <c r="A86" t="s">
        <v>1424</v>
      </c>
      <c r="B86">
        <v>-1499</v>
      </c>
      <c r="C86" s="3">
        <v>-3379000</v>
      </c>
      <c r="D86" t="s">
        <v>1425</v>
      </c>
      <c r="E86" t="s">
        <v>1426</v>
      </c>
    </row>
    <row r="87" spans="1:5" x14ac:dyDescent="0.25">
      <c r="A87" t="s">
        <v>1427</v>
      </c>
      <c r="B87">
        <v>-1499</v>
      </c>
      <c r="C87" s="3">
        <v>-3379000</v>
      </c>
      <c r="D87" t="s">
        <v>1428</v>
      </c>
      <c r="E87" t="s">
        <v>1429</v>
      </c>
    </row>
    <row r="88" spans="1:5" x14ac:dyDescent="0.25">
      <c r="A88" t="s">
        <v>1452</v>
      </c>
      <c r="B88">
        <v>-1499</v>
      </c>
      <c r="C88" s="3">
        <v>-3379000</v>
      </c>
      <c r="D88" t="s">
        <v>1453</v>
      </c>
      <c r="E88" t="s">
        <v>1454</v>
      </c>
    </row>
    <row r="89" spans="1:5" x14ac:dyDescent="0.25">
      <c r="A89" t="s">
        <v>1455</v>
      </c>
      <c r="B89">
        <v>-1499</v>
      </c>
      <c r="C89" s="3">
        <v>-3379000</v>
      </c>
      <c r="D89" t="s">
        <v>1456</v>
      </c>
      <c r="E89" t="s">
        <v>1457</v>
      </c>
    </row>
    <row r="90" spans="1:5" x14ac:dyDescent="0.25">
      <c r="A90" t="s">
        <v>1458</v>
      </c>
      <c r="B90">
        <v>-1499</v>
      </c>
      <c r="C90" s="3">
        <v>-3379000</v>
      </c>
      <c r="D90" t="s">
        <v>1459</v>
      </c>
      <c r="E90" t="s">
        <v>1460</v>
      </c>
    </row>
    <row r="91" spans="1:5" x14ac:dyDescent="0.25">
      <c r="A91" t="s">
        <v>1461</v>
      </c>
      <c r="B91">
        <v>-1499</v>
      </c>
      <c r="C91" s="3">
        <v>-3379000</v>
      </c>
      <c r="D91" t="s">
        <v>1462</v>
      </c>
      <c r="E91" t="s">
        <v>1463</v>
      </c>
    </row>
    <row r="92" spans="1:5" x14ac:dyDescent="0.25">
      <c r="A92" t="s">
        <v>1464</v>
      </c>
      <c r="B92">
        <v>-1499</v>
      </c>
      <c r="C92" s="3">
        <v>-3379000</v>
      </c>
      <c r="D92" t="s">
        <v>1465</v>
      </c>
      <c r="E92" t="s">
        <v>1466</v>
      </c>
    </row>
    <row r="93" spans="1:5" x14ac:dyDescent="0.25">
      <c r="A93" t="s">
        <v>1467</v>
      </c>
      <c r="B93">
        <v>-1499</v>
      </c>
      <c r="C93" s="3">
        <v>-3379000</v>
      </c>
      <c r="D93" t="s">
        <v>1468</v>
      </c>
      <c r="E93" t="s">
        <v>1469</v>
      </c>
    </row>
    <row r="94" spans="1:5" x14ac:dyDescent="0.25">
      <c r="A94" t="s">
        <v>1477</v>
      </c>
      <c r="B94">
        <v>-1499</v>
      </c>
      <c r="C94" s="3">
        <v>-3379000</v>
      </c>
      <c r="D94" t="s">
        <v>1478</v>
      </c>
      <c r="E94" t="s">
        <v>1479</v>
      </c>
    </row>
    <row r="95" spans="1:5" x14ac:dyDescent="0.25">
      <c r="A95" t="s">
        <v>1480</v>
      </c>
      <c r="B95">
        <v>-1499</v>
      </c>
      <c r="C95" s="3">
        <v>-3379000</v>
      </c>
      <c r="D95" t="s">
        <v>1481</v>
      </c>
      <c r="E95" t="s">
        <v>1482</v>
      </c>
    </row>
    <row r="96" spans="1:5" x14ac:dyDescent="0.25">
      <c r="A96" t="s">
        <v>1486</v>
      </c>
      <c r="B96">
        <v>-1499</v>
      </c>
      <c r="C96" s="3">
        <v>-3379000</v>
      </c>
      <c r="D96" t="s">
        <v>355</v>
      </c>
      <c r="E96" t="s">
        <v>1487</v>
      </c>
    </row>
    <row r="97" spans="1:5" x14ac:dyDescent="0.25">
      <c r="A97" t="s">
        <v>1488</v>
      </c>
      <c r="B97">
        <v>-1499</v>
      </c>
      <c r="C97" s="3">
        <v>-3379000</v>
      </c>
      <c r="D97" t="s">
        <v>1489</v>
      </c>
      <c r="E97" t="s">
        <v>1490</v>
      </c>
    </row>
    <row r="98" spans="1:5" x14ac:dyDescent="0.25">
      <c r="A98" t="s">
        <v>360</v>
      </c>
      <c r="B98">
        <v>-889</v>
      </c>
      <c r="C98" s="3">
        <v>-2129000</v>
      </c>
      <c r="D98" t="s">
        <v>361</v>
      </c>
      <c r="E98" t="s">
        <v>362</v>
      </c>
    </row>
    <row r="99" spans="1:5" x14ac:dyDescent="0.25">
      <c r="A99" t="s">
        <v>1511</v>
      </c>
      <c r="B99">
        <v>-889</v>
      </c>
      <c r="C99" s="3">
        <v>-2129000</v>
      </c>
      <c r="D99" t="s">
        <v>1512</v>
      </c>
      <c r="E99" t="s">
        <v>1513</v>
      </c>
    </row>
    <row r="100" spans="1:5" x14ac:dyDescent="0.25">
      <c r="A100" t="s">
        <v>690</v>
      </c>
      <c r="B100">
        <v>-797</v>
      </c>
      <c r="C100" s="3">
        <v>-1879000</v>
      </c>
      <c r="D100" t="s">
        <v>691</v>
      </c>
      <c r="E100" t="s">
        <v>692</v>
      </c>
    </row>
    <row r="101" spans="1:5" x14ac:dyDescent="0.25">
      <c r="A101" t="s">
        <v>901</v>
      </c>
      <c r="B101">
        <v>-797</v>
      </c>
      <c r="C101" s="3">
        <v>-1879000</v>
      </c>
      <c r="D101" t="s">
        <v>902</v>
      </c>
      <c r="E101" t="s">
        <v>903</v>
      </c>
    </row>
    <row r="102" spans="1:5" x14ac:dyDescent="0.25">
      <c r="A102" t="s">
        <v>1483</v>
      </c>
      <c r="B102">
        <v>-702</v>
      </c>
      <c r="C102" s="3">
        <v>-1500000</v>
      </c>
      <c r="D102" t="s">
        <v>1484</v>
      </c>
      <c r="E102" t="s">
        <v>1485</v>
      </c>
    </row>
    <row r="103" spans="1:5" x14ac:dyDescent="0.25">
      <c r="A103" t="s">
        <v>1514</v>
      </c>
      <c r="B103">
        <v>-702</v>
      </c>
      <c r="C103" s="3">
        <v>-1500000</v>
      </c>
      <c r="D103" t="s">
        <v>1515</v>
      </c>
      <c r="E103" t="s">
        <v>1516</v>
      </c>
    </row>
    <row r="104" spans="1:5" x14ac:dyDescent="0.25">
      <c r="A104" t="s">
        <v>1520</v>
      </c>
      <c r="B104">
        <v>-702</v>
      </c>
      <c r="C104" s="3">
        <v>-1500000</v>
      </c>
      <c r="D104" t="s">
        <v>1512</v>
      </c>
    </row>
    <row r="105" spans="1:5" x14ac:dyDescent="0.25">
      <c r="A105" t="s">
        <v>1536</v>
      </c>
      <c r="B105">
        <v>-702</v>
      </c>
      <c r="C105" s="3">
        <v>-1500000</v>
      </c>
      <c r="D105" t="s">
        <v>1537</v>
      </c>
      <c r="E105" t="s">
        <v>1538</v>
      </c>
    </row>
    <row r="106" spans="1:5" x14ac:dyDescent="0.25">
      <c r="A106" t="s">
        <v>171</v>
      </c>
      <c r="B106">
        <v>0</v>
      </c>
      <c r="C106" s="3">
        <v>0</v>
      </c>
      <c r="D106" t="s">
        <v>172</v>
      </c>
      <c r="E106" t="s">
        <v>173</v>
      </c>
    </row>
    <row r="107" spans="1:5" x14ac:dyDescent="0.25">
      <c r="A107" t="s">
        <v>491</v>
      </c>
      <c r="B107">
        <v>0</v>
      </c>
      <c r="C107" s="3">
        <v>0</v>
      </c>
      <c r="D107" t="s">
        <v>492</v>
      </c>
      <c r="E107" t="s">
        <v>493</v>
      </c>
    </row>
    <row r="108" spans="1:5" x14ac:dyDescent="0.25">
      <c r="A108" t="s">
        <v>659</v>
      </c>
      <c r="B108">
        <v>0</v>
      </c>
      <c r="C108" s="3">
        <v>0</v>
      </c>
      <c r="D108" t="s">
        <v>660</v>
      </c>
      <c r="E108" t="s">
        <v>661</v>
      </c>
    </row>
    <row r="109" spans="1:5" x14ac:dyDescent="0.25">
      <c r="A109" t="s">
        <v>680</v>
      </c>
      <c r="B109">
        <v>0</v>
      </c>
      <c r="C109" s="3">
        <v>0</v>
      </c>
      <c r="D109" t="s">
        <v>681</v>
      </c>
      <c r="E109" t="s">
        <v>682</v>
      </c>
    </row>
    <row r="110" spans="1:5" x14ac:dyDescent="0.25">
      <c r="A110" t="s">
        <v>768</v>
      </c>
      <c r="B110">
        <v>0</v>
      </c>
      <c r="C110" s="3">
        <v>0</v>
      </c>
      <c r="D110" t="s">
        <v>769</v>
      </c>
      <c r="E110" t="s">
        <v>770</v>
      </c>
    </row>
    <row r="111" spans="1:5" x14ac:dyDescent="0.25">
      <c r="A111" t="s">
        <v>856</v>
      </c>
      <c r="B111">
        <v>0</v>
      </c>
      <c r="C111" s="3">
        <v>0</v>
      </c>
      <c r="D111" t="s">
        <v>857</v>
      </c>
      <c r="E111" t="s">
        <v>858</v>
      </c>
    </row>
    <row r="112" spans="1:5" x14ac:dyDescent="0.25">
      <c r="A112" t="s">
        <v>972</v>
      </c>
      <c r="B112">
        <v>0</v>
      </c>
      <c r="C112" s="3">
        <v>0</v>
      </c>
      <c r="D112" t="s">
        <v>973</v>
      </c>
      <c r="E112" t="s">
        <v>974</v>
      </c>
    </row>
    <row r="113" spans="1:5" x14ac:dyDescent="0.25">
      <c r="A113" t="s">
        <v>1050</v>
      </c>
      <c r="B113">
        <v>0</v>
      </c>
      <c r="C113" s="3">
        <v>0</v>
      </c>
      <c r="D113" t="s">
        <v>1051</v>
      </c>
      <c r="E113" t="s">
        <v>1052</v>
      </c>
    </row>
    <row r="114" spans="1:5" x14ac:dyDescent="0.25">
      <c r="A114" t="s">
        <v>1136</v>
      </c>
      <c r="B114">
        <v>0</v>
      </c>
      <c r="C114" s="3">
        <v>0</v>
      </c>
      <c r="D114" t="s">
        <v>1137</v>
      </c>
      <c r="E114" t="s">
        <v>1138</v>
      </c>
    </row>
    <row r="115" spans="1:5" x14ac:dyDescent="0.25">
      <c r="A115" t="s">
        <v>1208</v>
      </c>
      <c r="B115">
        <v>0</v>
      </c>
      <c r="C115" s="3">
        <v>0</v>
      </c>
      <c r="D115" t="s">
        <v>1209</v>
      </c>
      <c r="E115" t="s">
        <v>1210</v>
      </c>
    </row>
    <row r="116" spans="1:5" x14ac:dyDescent="0.25">
      <c r="A116" t="s">
        <v>1275</v>
      </c>
      <c r="B116">
        <v>0</v>
      </c>
      <c r="C116" s="3">
        <v>0</v>
      </c>
      <c r="D116" t="s">
        <v>1276</v>
      </c>
      <c r="E116" t="s">
        <v>1277</v>
      </c>
    </row>
    <row r="117" spans="1:5" x14ac:dyDescent="0.25">
      <c r="A117" t="s">
        <v>1304</v>
      </c>
      <c r="B117">
        <v>0</v>
      </c>
      <c r="C117" s="3">
        <v>0</v>
      </c>
      <c r="D117" t="s">
        <v>1305</v>
      </c>
      <c r="E117" t="s">
        <v>1306</v>
      </c>
    </row>
    <row r="118" spans="1:5" x14ac:dyDescent="0.25">
      <c r="A118" t="s">
        <v>1433</v>
      </c>
      <c r="B118">
        <v>0</v>
      </c>
      <c r="C118" s="3">
        <v>0</v>
      </c>
      <c r="D118" t="s">
        <v>1434</v>
      </c>
      <c r="E118" t="s">
        <v>1435</v>
      </c>
    </row>
    <row r="119" spans="1:5" x14ac:dyDescent="0.25">
      <c r="A119" t="s">
        <v>1471</v>
      </c>
      <c r="B119">
        <v>0</v>
      </c>
      <c r="C119" s="3">
        <v>0</v>
      </c>
      <c r="D119" t="s">
        <v>1472</v>
      </c>
      <c r="E119" t="s">
        <v>1473</v>
      </c>
    </row>
    <row r="120" spans="1:5" x14ac:dyDescent="0.25">
      <c r="A120" t="s">
        <v>1517</v>
      </c>
      <c r="B120">
        <v>0</v>
      </c>
      <c r="C120" s="3">
        <v>0</v>
      </c>
    </row>
    <row r="121" spans="1:5" x14ac:dyDescent="0.25">
      <c r="A121" t="s">
        <v>1518</v>
      </c>
      <c r="B121">
        <v>0</v>
      </c>
      <c r="C121" s="3">
        <v>0</v>
      </c>
      <c r="D121" t="s">
        <v>223</v>
      </c>
      <c r="E121" t="s">
        <v>1519</v>
      </c>
    </row>
    <row r="122" spans="1:5" x14ac:dyDescent="0.25">
      <c r="A122" t="s">
        <v>1539</v>
      </c>
      <c r="B122">
        <v>0</v>
      </c>
      <c r="C122" s="3">
        <v>0</v>
      </c>
    </row>
    <row r="123" spans="1:5" x14ac:dyDescent="0.25">
      <c r="A123" t="s">
        <v>1540</v>
      </c>
      <c r="B123">
        <v>0</v>
      </c>
      <c r="C123" s="3">
        <v>0</v>
      </c>
    </row>
    <row r="124" spans="1:5" x14ac:dyDescent="0.25">
      <c r="A124" t="s">
        <v>1541</v>
      </c>
      <c r="B124">
        <v>0</v>
      </c>
      <c r="C124" s="3">
        <v>0</v>
      </c>
    </row>
    <row r="125" spans="1:5" x14ac:dyDescent="0.25">
      <c r="A125" t="s">
        <v>363</v>
      </c>
      <c r="B125">
        <v>30</v>
      </c>
      <c r="C125" s="3">
        <v>93100</v>
      </c>
      <c r="D125" t="s">
        <v>364</v>
      </c>
      <c r="E125" t="s">
        <v>365</v>
      </c>
    </row>
    <row r="126" spans="1:5" x14ac:dyDescent="0.25">
      <c r="A126" t="s">
        <v>524</v>
      </c>
      <c r="B126">
        <v>30</v>
      </c>
      <c r="C126" s="3">
        <v>93100</v>
      </c>
      <c r="D126" t="s">
        <v>525</v>
      </c>
      <c r="E126" t="s">
        <v>526</v>
      </c>
    </row>
    <row r="127" spans="1:5" x14ac:dyDescent="0.25">
      <c r="A127" t="s">
        <v>668</v>
      </c>
      <c r="B127">
        <v>30</v>
      </c>
      <c r="C127" s="3">
        <v>93100</v>
      </c>
      <c r="D127" t="s">
        <v>669</v>
      </c>
      <c r="E127" t="s">
        <v>670</v>
      </c>
    </row>
    <row r="128" spans="1:5" x14ac:dyDescent="0.25">
      <c r="A128" t="s">
        <v>986</v>
      </c>
      <c r="B128">
        <v>30</v>
      </c>
      <c r="C128" s="3">
        <v>93100</v>
      </c>
      <c r="D128" t="s">
        <v>987</v>
      </c>
      <c r="E128" t="s">
        <v>988</v>
      </c>
    </row>
    <row r="129" spans="1:5" x14ac:dyDescent="0.25">
      <c r="A129" t="s">
        <v>1001</v>
      </c>
      <c r="B129">
        <v>30</v>
      </c>
      <c r="C129" s="3">
        <v>93100</v>
      </c>
    </row>
    <row r="130" spans="1:5" x14ac:dyDescent="0.25">
      <c r="A130" t="s">
        <v>1196</v>
      </c>
      <c r="B130">
        <v>30</v>
      </c>
      <c r="C130" s="3">
        <v>93100</v>
      </c>
      <c r="D130" t="s">
        <v>1197</v>
      </c>
      <c r="E130" t="s">
        <v>1198</v>
      </c>
    </row>
    <row r="131" spans="1:5" x14ac:dyDescent="0.25">
      <c r="A131" t="s">
        <v>1211</v>
      </c>
      <c r="B131">
        <v>30</v>
      </c>
      <c r="C131" s="3">
        <v>93100</v>
      </c>
      <c r="D131" t="s">
        <v>1212</v>
      </c>
      <c r="E131" t="s">
        <v>1213</v>
      </c>
    </row>
    <row r="132" spans="1:5" x14ac:dyDescent="0.25">
      <c r="A132" t="s">
        <v>1220</v>
      </c>
      <c r="B132">
        <v>30</v>
      </c>
      <c r="C132" s="3">
        <v>93100</v>
      </c>
      <c r="D132" t="s">
        <v>1221</v>
      </c>
      <c r="E132" t="s">
        <v>1222</v>
      </c>
    </row>
    <row r="133" spans="1:5" x14ac:dyDescent="0.25">
      <c r="A133" t="s">
        <v>1229</v>
      </c>
      <c r="B133">
        <v>30</v>
      </c>
      <c r="C133" s="3">
        <v>93100</v>
      </c>
    </row>
    <row r="134" spans="1:5" x14ac:dyDescent="0.25">
      <c r="A134" t="s">
        <v>1242</v>
      </c>
      <c r="B134">
        <v>30</v>
      </c>
      <c r="C134" s="3">
        <v>93100</v>
      </c>
      <c r="D134" t="s">
        <v>1243</v>
      </c>
      <c r="E134" t="s">
        <v>1244</v>
      </c>
    </row>
    <row r="135" spans="1:5" x14ac:dyDescent="0.25">
      <c r="A135" t="s">
        <v>1399</v>
      </c>
      <c r="B135">
        <v>30</v>
      </c>
      <c r="C135" s="3">
        <v>93100</v>
      </c>
      <c r="D135" t="s">
        <v>1400</v>
      </c>
      <c r="E135" t="s">
        <v>1401</v>
      </c>
    </row>
    <row r="136" spans="1:5" x14ac:dyDescent="0.25">
      <c r="A136" t="s">
        <v>1402</v>
      </c>
      <c r="B136">
        <v>30</v>
      </c>
      <c r="C136" s="3">
        <v>93100</v>
      </c>
      <c r="D136" t="s">
        <v>1403</v>
      </c>
      <c r="E136" t="s">
        <v>1404</v>
      </c>
    </row>
    <row r="137" spans="1:5" x14ac:dyDescent="0.25">
      <c r="A137" t="s">
        <v>1439</v>
      </c>
      <c r="B137">
        <v>30</v>
      </c>
      <c r="C137" s="3">
        <v>93100</v>
      </c>
      <c r="D137" t="s">
        <v>1440</v>
      </c>
      <c r="E137" t="s">
        <v>1441</v>
      </c>
    </row>
    <row r="138" spans="1:5" x14ac:dyDescent="0.25">
      <c r="A138" t="s">
        <v>396</v>
      </c>
      <c r="B138">
        <v>92</v>
      </c>
      <c r="C138" s="3">
        <v>250000</v>
      </c>
      <c r="D138" t="s">
        <v>397</v>
      </c>
      <c r="E138" t="s">
        <v>398</v>
      </c>
    </row>
    <row r="139" spans="1:5" x14ac:dyDescent="0.25">
      <c r="A139" t="s">
        <v>946</v>
      </c>
      <c r="B139">
        <v>92</v>
      </c>
      <c r="C139" s="3">
        <v>250000</v>
      </c>
      <c r="D139" t="s">
        <v>947</v>
      </c>
      <c r="E139" t="s">
        <v>948</v>
      </c>
    </row>
    <row r="140" spans="1:5" x14ac:dyDescent="0.25">
      <c r="A140" t="s">
        <v>1336</v>
      </c>
      <c r="B140">
        <v>92</v>
      </c>
      <c r="C140" s="3">
        <v>250000</v>
      </c>
      <c r="D140" t="s">
        <v>1337</v>
      </c>
      <c r="E140" t="s">
        <v>1338</v>
      </c>
    </row>
    <row r="141" spans="1:5" x14ac:dyDescent="0.25">
      <c r="A141" t="s">
        <v>1381</v>
      </c>
      <c r="B141">
        <v>92</v>
      </c>
      <c r="C141" s="3">
        <v>250000</v>
      </c>
      <c r="D141" t="s">
        <v>1382</v>
      </c>
      <c r="E141" t="s">
        <v>1383</v>
      </c>
    </row>
    <row r="142" spans="1:5" x14ac:dyDescent="0.25">
      <c r="A142" t="s">
        <v>177</v>
      </c>
      <c r="B142">
        <v>211</v>
      </c>
      <c r="C142" s="3">
        <v>661600</v>
      </c>
      <c r="D142" t="s">
        <v>178</v>
      </c>
      <c r="E142" t="s">
        <v>179</v>
      </c>
    </row>
    <row r="143" spans="1:5" x14ac:dyDescent="0.25">
      <c r="A143" t="s">
        <v>183</v>
      </c>
      <c r="B143">
        <v>211</v>
      </c>
      <c r="C143" s="3">
        <v>661600</v>
      </c>
      <c r="D143" t="s">
        <v>184</v>
      </c>
      <c r="E143" t="s">
        <v>185</v>
      </c>
    </row>
    <row r="144" spans="1:5" x14ac:dyDescent="0.25">
      <c r="A144" t="s">
        <v>189</v>
      </c>
      <c r="B144">
        <v>211</v>
      </c>
      <c r="C144" s="3">
        <v>661600</v>
      </c>
      <c r="D144" t="s">
        <v>190</v>
      </c>
      <c r="E144" t="s">
        <v>191</v>
      </c>
    </row>
    <row r="145" spans="1:5" x14ac:dyDescent="0.25">
      <c r="A145" t="s">
        <v>192</v>
      </c>
      <c r="B145">
        <v>211</v>
      </c>
      <c r="C145" s="3">
        <v>661600</v>
      </c>
      <c r="D145" t="s">
        <v>193</v>
      </c>
      <c r="E145" t="s">
        <v>194</v>
      </c>
    </row>
    <row r="146" spans="1:5" x14ac:dyDescent="0.25">
      <c r="A146" t="s">
        <v>201</v>
      </c>
      <c r="B146">
        <v>211</v>
      </c>
      <c r="C146" s="3">
        <v>661600</v>
      </c>
      <c r="D146" t="s">
        <v>202</v>
      </c>
      <c r="E146" t="s">
        <v>203</v>
      </c>
    </row>
    <row r="147" spans="1:5" x14ac:dyDescent="0.25">
      <c r="A147" t="s">
        <v>207</v>
      </c>
      <c r="B147">
        <v>211</v>
      </c>
      <c r="C147" s="3">
        <v>661600</v>
      </c>
      <c r="D147" t="s">
        <v>208</v>
      </c>
      <c r="E147" t="s">
        <v>209</v>
      </c>
    </row>
    <row r="148" spans="1:5" x14ac:dyDescent="0.25">
      <c r="A148" t="s">
        <v>216</v>
      </c>
      <c r="B148">
        <v>211</v>
      </c>
      <c r="C148" s="3">
        <v>661600</v>
      </c>
      <c r="D148" t="s">
        <v>217</v>
      </c>
      <c r="E148" t="s">
        <v>218</v>
      </c>
    </row>
    <row r="149" spans="1:5" x14ac:dyDescent="0.25">
      <c r="A149" t="s">
        <v>222</v>
      </c>
      <c r="B149">
        <v>211</v>
      </c>
      <c r="C149" s="3">
        <v>661600</v>
      </c>
      <c r="D149" t="s">
        <v>223</v>
      </c>
      <c r="E149" t="s">
        <v>224</v>
      </c>
    </row>
    <row r="150" spans="1:5" x14ac:dyDescent="0.25">
      <c r="A150" t="s">
        <v>225</v>
      </c>
      <c r="B150">
        <v>211</v>
      </c>
      <c r="C150" s="3">
        <v>661600</v>
      </c>
      <c r="D150" t="s">
        <v>226</v>
      </c>
      <c r="E150" t="s">
        <v>227</v>
      </c>
    </row>
    <row r="151" spans="1:5" x14ac:dyDescent="0.25">
      <c r="A151" t="s">
        <v>246</v>
      </c>
      <c r="B151">
        <v>211</v>
      </c>
      <c r="C151" s="3">
        <v>661600</v>
      </c>
      <c r="D151" t="s">
        <v>247</v>
      </c>
      <c r="E151" t="s">
        <v>248</v>
      </c>
    </row>
    <row r="152" spans="1:5" x14ac:dyDescent="0.25">
      <c r="A152" t="s">
        <v>252</v>
      </c>
      <c r="B152">
        <v>211</v>
      </c>
      <c r="C152" s="3">
        <v>661600</v>
      </c>
      <c r="D152" t="s">
        <v>253</v>
      </c>
      <c r="E152" t="s">
        <v>254</v>
      </c>
    </row>
    <row r="153" spans="1:5" x14ac:dyDescent="0.25">
      <c r="A153" t="s">
        <v>258</v>
      </c>
      <c r="B153">
        <v>211</v>
      </c>
      <c r="C153" s="3">
        <v>661600</v>
      </c>
      <c r="D153" t="s">
        <v>259</v>
      </c>
      <c r="E153" t="s">
        <v>260</v>
      </c>
    </row>
    <row r="154" spans="1:5" x14ac:dyDescent="0.25">
      <c r="A154" t="s">
        <v>261</v>
      </c>
      <c r="B154">
        <v>211</v>
      </c>
      <c r="C154" s="3">
        <v>661600</v>
      </c>
      <c r="D154" t="s">
        <v>262</v>
      </c>
      <c r="E154" t="s">
        <v>263</v>
      </c>
    </row>
    <row r="155" spans="1:5" x14ac:dyDescent="0.25">
      <c r="A155" t="s">
        <v>273</v>
      </c>
      <c r="B155">
        <v>211</v>
      </c>
      <c r="C155" s="3">
        <v>661600</v>
      </c>
      <c r="D155" t="s">
        <v>274</v>
      </c>
      <c r="E155" t="s">
        <v>275</v>
      </c>
    </row>
    <row r="156" spans="1:5" x14ac:dyDescent="0.25">
      <c r="A156" t="s">
        <v>282</v>
      </c>
      <c r="B156">
        <v>211</v>
      </c>
      <c r="C156" s="3">
        <v>661600</v>
      </c>
      <c r="D156" t="s">
        <v>283</v>
      </c>
      <c r="E156" t="s">
        <v>284</v>
      </c>
    </row>
    <row r="157" spans="1:5" x14ac:dyDescent="0.25">
      <c r="A157" t="s">
        <v>297</v>
      </c>
      <c r="B157">
        <v>211</v>
      </c>
      <c r="C157" s="3">
        <v>661600</v>
      </c>
      <c r="D157" t="s">
        <v>298</v>
      </c>
      <c r="E157" t="s">
        <v>299</v>
      </c>
    </row>
    <row r="158" spans="1:5" x14ac:dyDescent="0.25">
      <c r="A158" t="s">
        <v>318</v>
      </c>
      <c r="B158">
        <v>211</v>
      </c>
      <c r="C158" s="3">
        <v>661600</v>
      </c>
      <c r="D158" t="s">
        <v>319</v>
      </c>
      <c r="E158" t="s">
        <v>320</v>
      </c>
    </row>
    <row r="159" spans="1:5" x14ac:dyDescent="0.25">
      <c r="A159" t="s">
        <v>327</v>
      </c>
      <c r="B159">
        <v>211</v>
      </c>
      <c r="C159" s="3">
        <v>661600</v>
      </c>
      <c r="D159" t="s">
        <v>328</v>
      </c>
      <c r="E159" t="s">
        <v>329</v>
      </c>
    </row>
    <row r="160" spans="1:5" x14ac:dyDescent="0.25">
      <c r="A160" t="s">
        <v>333</v>
      </c>
      <c r="B160">
        <v>211</v>
      </c>
      <c r="C160" s="3">
        <v>661600</v>
      </c>
      <c r="D160" t="s">
        <v>334</v>
      </c>
      <c r="E160" t="s">
        <v>335</v>
      </c>
    </row>
    <row r="161" spans="1:5" x14ac:dyDescent="0.25">
      <c r="A161" t="s">
        <v>336</v>
      </c>
      <c r="B161">
        <v>211</v>
      </c>
      <c r="C161" s="3">
        <v>661600</v>
      </c>
      <c r="D161" t="s">
        <v>337</v>
      </c>
      <c r="E161" t="s">
        <v>338</v>
      </c>
    </row>
    <row r="162" spans="1:5" x14ac:dyDescent="0.25">
      <c r="A162" t="s">
        <v>345</v>
      </c>
      <c r="B162">
        <v>211</v>
      </c>
      <c r="C162" s="3">
        <v>661600</v>
      </c>
      <c r="D162" t="s">
        <v>346</v>
      </c>
      <c r="E162" t="s">
        <v>347</v>
      </c>
    </row>
    <row r="163" spans="1:5" x14ac:dyDescent="0.25">
      <c r="A163" t="s">
        <v>351</v>
      </c>
      <c r="B163">
        <v>211</v>
      </c>
      <c r="C163" s="3">
        <v>661600</v>
      </c>
      <c r="D163" t="s">
        <v>352</v>
      </c>
      <c r="E163" t="s">
        <v>353</v>
      </c>
    </row>
    <row r="164" spans="1:5" x14ac:dyDescent="0.25">
      <c r="A164" t="s">
        <v>369</v>
      </c>
      <c r="B164">
        <v>211</v>
      </c>
      <c r="C164" s="3">
        <v>661600</v>
      </c>
      <c r="D164" t="s">
        <v>370</v>
      </c>
      <c r="E164" t="s">
        <v>371</v>
      </c>
    </row>
    <row r="165" spans="1:5" x14ac:dyDescent="0.25">
      <c r="A165" t="s">
        <v>375</v>
      </c>
      <c r="B165">
        <v>211</v>
      </c>
      <c r="C165" s="3">
        <v>661600</v>
      </c>
      <c r="D165" t="s">
        <v>376</v>
      </c>
      <c r="E165" t="s">
        <v>377</v>
      </c>
    </row>
    <row r="166" spans="1:5" x14ac:dyDescent="0.25">
      <c r="A166" t="s">
        <v>378</v>
      </c>
      <c r="B166">
        <v>211</v>
      </c>
      <c r="C166" s="3">
        <v>661600</v>
      </c>
      <c r="D166" t="s">
        <v>379</v>
      </c>
      <c r="E166" t="s">
        <v>380</v>
      </c>
    </row>
    <row r="167" spans="1:5" x14ac:dyDescent="0.25">
      <c r="A167" t="s">
        <v>384</v>
      </c>
      <c r="B167">
        <v>211</v>
      </c>
      <c r="C167" s="3">
        <v>661600</v>
      </c>
      <c r="D167" t="s">
        <v>385</v>
      </c>
      <c r="E167" t="s">
        <v>386</v>
      </c>
    </row>
    <row r="168" spans="1:5" x14ac:dyDescent="0.25">
      <c r="A168" t="s">
        <v>393</v>
      </c>
      <c r="B168">
        <v>211</v>
      </c>
      <c r="C168" s="3">
        <v>661600</v>
      </c>
      <c r="D168" t="s">
        <v>394</v>
      </c>
      <c r="E168" t="s">
        <v>395</v>
      </c>
    </row>
    <row r="169" spans="1:5" x14ac:dyDescent="0.25">
      <c r="A169" t="s">
        <v>408</v>
      </c>
      <c r="B169">
        <v>211</v>
      </c>
      <c r="C169" s="3">
        <v>661600</v>
      </c>
      <c r="D169" t="s">
        <v>409</v>
      </c>
      <c r="E169" t="s">
        <v>410</v>
      </c>
    </row>
    <row r="170" spans="1:5" x14ac:dyDescent="0.25">
      <c r="A170" t="s">
        <v>411</v>
      </c>
      <c r="B170">
        <v>211</v>
      </c>
      <c r="C170" s="3">
        <v>661600</v>
      </c>
      <c r="D170" t="s">
        <v>412</v>
      </c>
      <c r="E170" t="s">
        <v>413</v>
      </c>
    </row>
    <row r="171" spans="1:5" x14ac:dyDescent="0.25">
      <c r="A171" t="s">
        <v>414</v>
      </c>
      <c r="B171">
        <v>211</v>
      </c>
      <c r="C171" s="3">
        <v>661600</v>
      </c>
      <c r="D171" t="s">
        <v>415</v>
      </c>
      <c r="E171" t="s">
        <v>416</v>
      </c>
    </row>
    <row r="172" spans="1:5" x14ac:dyDescent="0.25">
      <c r="A172" t="s">
        <v>417</v>
      </c>
      <c r="B172">
        <v>211</v>
      </c>
      <c r="C172" s="3">
        <v>661600</v>
      </c>
      <c r="D172" t="s">
        <v>418</v>
      </c>
      <c r="E172" t="s">
        <v>419</v>
      </c>
    </row>
    <row r="173" spans="1:5" x14ac:dyDescent="0.25">
      <c r="A173" t="s">
        <v>420</v>
      </c>
      <c r="B173">
        <v>211</v>
      </c>
      <c r="C173" s="3">
        <v>661600</v>
      </c>
      <c r="D173" t="s">
        <v>421</v>
      </c>
      <c r="E173" t="s">
        <v>422</v>
      </c>
    </row>
    <row r="174" spans="1:5" x14ac:dyDescent="0.25">
      <c r="A174" t="s">
        <v>423</v>
      </c>
      <c r="B174">
        <v>211</v>
      </c>
      <c r="C174" s="3">
        <v>661600</v>
      </c>
      <c r="D174" t="s">
        <v>424</v>
      </c>
      <c r="E174" t="s">
        <v>425</v>
      </c>
    </row>
    <row r="175" spans="1:5" x14ac:dyDescent="0.25">
      <c r="A175" t="s">
        <v>432</v>
      </c>
      <c r="B175">
        <v>211</v>
      </c>
      <c r="C175" s="3">
        <v>661600</v>
      </c>
      <c r="D175" t="s">
        <v>433</v>
      </c>
      <c r="E175" t="s">
        <v>434</v>
      </c>
    </row>
    <row r="176" spans="1:5" x14ac:dyDescent="0.25">
      <c r="A176" t="s">
        <v>435</v>
      </c>
      <c r="B176">
        <v>211</v>
      </c>
      <c r="C176" s="3">
        <v>661600</v>
      </c>
      <c r="D176" t="s">
        <v>436</v>
      </c>
      <c r="E176" t="s">
        <v>437</v>
      </c>
    </row>
    <row r="177" spans="1:5" x14ac:dyDescent="0.25">
      <c r="A177" t="s">
        <v>438</v>
      </c>
      <c r="B177">
        <v>211</v>
      </c>
      <c r="C177" s="3">
        <v>661600</v>
      </c>
      <c r="D177" t="s">
        <v>439</v>
      </c>
      <c r="E177" t="s">
        <v>440</v>
      </c>
    </row>
    <row r="178" spans="1:5" x14ac:dyDescent="0.25">
      <c r="A178" t="s">
        <v>446</v>
      </c>
      <c r="B178">
        <v>211</v>
      </c>
      <c r="C178" s="3">
        <v>661600</v>
      </c>
      <c r="D178" t="s">
        <v>447</v>
      </c>
      <c r="E178" t="s">
        <v>448</v>
      </c>
    </row>
    <row r="179" spans="1:5" x14ac:dyDescent="0.25">
      <c r="A179" t="s">
        <v>455</v>
      </c>
      <c r="B179">
        <v>211</v>
      </c>
      <c r="C179" s="3">
        <v>661600</v>
      </c>
      <c r="D179" t="s">
        <v>456</v>
      </c>
      <c r="E179" t="s">
        <v>457</v>
      </c>
    </row>
    <row r="180" spans="1:5" x14ac:dyDescent="0.25">
      <c r="A180" t="s">
        <v>473</v>
      </c>
      <c r="B180">
        <v>211</v>
      </c>
      <c r="C180" s="3">
        <v>661600</v>
      </c>
      <c r="D180" t="s">
        <v>474</v>
      </c>
      <c r="E180" t="s">
        <v>475</v>
      </c>
    </row>
    <row r="181" spans="1:5" x14ac:dyDescent="0.25">
      <c r="A181" t="s">
        <v>482</v>
      </c>
      <c r="B181">
        <v>211</v>
      </c>
      <c r="C181" s="3">
        <v>661600</v>
      </c>
      <c r="D181" t="s">
        <v>483</v>
      </c>
      <c r="E181" t="s">
        <v>484</v>
      </c>
    </row>
    <row r="182" spans="1:5" x14ac:dyDescent="0.25">
      <c r="A182" t="s">
        <v>485</v>
      </c>
      <c r="B182">
        <v>211</v>
      </c>
      <c r="C182" s="3">
        <v>661600</v>
      </c>
      <c r="D182" t="s">
        <v>486</v>
      </c>
      <c r="E182" t="s">
        <v>487</v>
      </c>
    </row>
    <row r="183" spans="1:5" x14ac:dyDescent="0.25">
      <c r="A183" t="s">
        <v>497</v>
      </c>
      <c r="B183">
        <v>211</v>
      </c>
      <c r="C183" s="3">
        <v>661600</v>
      </c>
      <c r="D183" t="s">
        <v>498</v>
      </c>
      <c r="E183" t="s">
        <v>499</v>
      </c>
    </row>
    <row r="184" spans="1:5" x14ac:dyDescent="0.25">
      <c r="A184" t="s">
        <v>500</v>
      </c>
      <c r="B184">
        <v>211</v>
      </c>
      <c r="C184" s="3">
        <v>661600</v>
      </c>
      <c r="D184" t="s">
        <v>501</v>
      </c>
      <c r="E184" t="s">
        <v>502</v>
      </c>
    </row>
    <row r="185" spans="1:5" x14ac:dyDescent="0.25">
      <c r="A185" t="s">
        <v>518</v>
      </c>
      <c r="B185">
        <v>211</v>
      </c>
      <c r="C185" s="3">
        <v>661600</v>
      </c>
      <c r="D185" t="s">
        <v>519</v>
      </c>
      <c r="E185" t="s">
        <v>520</v>
      </c>
    </row>
    <row r="186" spans="1:5" x14ac:dyDescent="0.25">
      <c r="A186" t="s">
        <v>521</v>
      </c>
      <c r="B186">
        <v>211</v>
      </c>
      <c r="C186" s="3">
        <v>661600</v>
      </c>
      <c r="D186" t="s">
        <v>522</v>
      </c>
      <c r="E186" t="s">
        <v>523</v>
      </c>
    </row>
    <row r="187" spans="1:5" x14ac:dyDescent="0.25">
      <c r="A187" t="s">
        <v>530</v>
      </c>
      <c r="B187">
        <v>211</v>
      </c>
      <c r="C187" s="3">
        <v>661600</v>
      </c>
      <c r="D187" t="s">
        <v>531</v>
      </c>
      <c r="E187" t="s">
        <v>532</v>
      </c>
    </row>
    <row r="188" spans="1:5" x14ac:dyDescent="0.25">
      <c r="A188" t="s">
        <v>542</v>
      </c>
      <c r="B188">
        <v>211</v>
      </c>
      <c r="C188" s="3">
        <v>661600</v>
      </c>
      <c r="D188" t="s">
        <v>543</v>
      </c>
      <c r="E188" t="s">
        <v>544</v>
      </c>
    </row>
    <row r="189" spans="1:5" x14ac:dyDescent="0.25">
      <c r="A189" t="s">
        <v>548</v>
      </c>
      <c r="B189">
        <v>211</v>
      </c>
      <c r="C189" s="3">
        <v>661600</v>
      </c>
      <c r="D189" t="s">
        <v>549</v>
      </c>
      <c r="E189" t="s">
        <v>550</v>
      </c>
    </row>
    <row r="190" spans="1:5" x14ac:dyDescent="0.25">
      <c r="A190" t="s">
        <v>551</v>
      </c>
      <c r="B190">
        <v>211</v>
      </c>
      <c r="C190" s="3">
        <v>661600</v>
      </c>
      <c r="D190" t="s">
        <v>552</v>
      </c>
      <c r="E190" t="s">
        <v>553</v>
      </c>
    </row>
    <row r="191" spans="1:5" x14ac:dyDescent="0.25">
      <c r="A191" t="s">
        <v>560</v>
      </c>
      <c r="B191">
        <v>211</v>
      </c>
      <c r="C191" s="3">
        <v>661600</v>
      </c>
      <c r="D191" t="s">
        <v>561</v>
      </c>
      <c r="E191" t="s">
        <v>562</v>
      </c>
    </row>
    <row r="192" spans="1:5" x14ac:dyDescent="0.25">
      <c r="A192" t="s">
        <v>566</v>
      </c>
      <c r="B192">
        <v>211</v>
      </c>
      <c r="C192" s="3">
        <v>661600</v>
      </c>
      <c r="D192" t="s">
        <v>567</v>
      </c>
      <c r="E192" t="s">
        <v>568</v>
      </c>
    </row>
    <row r="193" spans="1:5" x14ac:dyDescent="0.25">
      <c r="A193" t="s">
        <v>569</v>
      </c>
      <c r="B193">
        <v>211</v>
      </c>
      <c r="C193" s="3">
        <v>661600</v>
      </c>
      <c r="D193" t="s">
        <v>570</v>
      </c>
      <c r="E193" t="s">
        <v>571</v>
      </c>
    </row>
    <row r="194" spans="1:5" x14ac:dyDescent="0.25">
      <c r="A194" t="s">
        <v>575</v>
      </c>
      <c r="B194">
        <v>211</v>
      </c>
      <c r="C194" s="3">
        <v>661600</v>
      </c>
      <c r="D194" t="s">
        <v>576</v>
      </c>
      <c r="E194" t="s">
        <v>577</v>
      </c>
    </row>
    <row r="195" spans="1:5" x14ac:dyDescent="0.25">
      <c r="A195" t="s">
        <v>581</v>
      </c>
      <c r="B195">
        <v>211</v>
      </c>
      <c r="C195" s="3">
        <v>661600</v>
      </c>
      <c r="D195" t="s">
        <v>582</v>
      </c>
      <c r="E195" t="s">
        <v>583</v>
      </c>
    </row>
    <row r="196" spans="1:5" x14ac:dyDescent="0.25">
      <c r="A196" t="s">
        <v>587</v>
      </c>
      <c r="B196">
        <v>211</v>
      </c>
      <c r="C196" s="3">
        <v>661600</v>
      </c>
      <c r="D196" t="s">
        <v>588</v>
      </c>
      <c r="E196" t="s">
        <v>589</v>
      </c>
    </row>
    <row r="197" spans="1:5" x14ac:dyDescent="0.25">
      <c r="A197" t="s">
        <v>593</v>
      </c>
      <c r="B197">
        <v>211</v>
      </c>
      <c r="C197" s="3">
        <v>661600</v>
      </c>
      <c r="D197" t="s">
        <v>594</v>
      </c>
      <c r="E197" t="s">
        <v>595</v>
      </c>
    </row>
    <row r="198" spans="1:5" x14ac:dyDescent="0.25">
      <c r="A198" t="s">
        <v>602</v>
      </c>
      <c r="B198">
        <v>211</v>
      </c>
      <c r="C198" s="3">
        <v>661600</v>
      </c>
      <c r="D198" t="s">
        <v>603</v>
      </c>
      <c r="E198" t="s">
        <v>604</v>
      </c>
    </row>
    <row r="199" spans="1:5" x14ac:dyDescent="0.25">
      <c r="A199" t="s">
        <v>605</v>
      </c>
      <c r="B199">
        <v>211</v>
      </c>
      <c r="C199" s="3">
        <v>661600</v>
      </c>
      <c r="D199" t="s">
        <v>606</v>
      </c>
      <c r="E199" t="s">
        <v>607</v>
      </c>
    </row>
    <row r="200" spans="1:5" x14ac:dyDescent="0.25">
      <c r="A200" t="s">
        <v>611</v>
      </c>
      <c r="B200">
        <v>211</v>
      </c>
      <c r="C200" s="3">
        <v>661600</v>
      </c>
      <c r="D200" t="s">
        <v>612</v>
      </c>
      <c r="E200" t="s">
        <v>613</v>
      </c>
    </row>
    <row r="201" spans="1:5" x14ac:dyDescent="0.25">
      <c r="A201" t="s">
        <v>617</v>
      </c>
      <c r="B201">
        <v>211</v>
      </c>
      <c r="C201" s="3">
        <v>661600</v>
      </c>
      <c r="D201" t="s">
        <v>618</v>
      </c>
      <c r="E201" t="s">
        <v>619</v>
      </c>
    </row>
    <row r="202" spans="1:5" x14ac:dyDescent="0.25">
      <c r="A202" t="s">
        <v>623</v>
      </c>
      <c r="B202">
        <v>211</v>
      </c>
      <c r="C202" s="3">
        <v>661600</v>
      </c>
      <c r="D202" t="s">
        <v>624</v>
      </c>
      <c r="E202" t="s">
        <v>625</v>
      </c>
    </row>
    <row r="203" spans="1:5" x14ac:dyDescent="0.25">
      <c r="A203" t="s">
        <v>626</v>
      </c>
      <c r="B203">
        <v>211</v>
      </c>
      <c r="C203" s="3">
        <v>661600</v>
      </c>
      <c r="D203" t="s">
        <v>627</v>
      </c>
      <c r="E203" t="s">
        <v>628</v>
      </c>
    </row>
    <row r="204" spans="1:5" x14ac:dyDescent="0.25">
      <c r="A204" t="s">
        <v>629</v>
      </c>
      <c r="B204">
        <v>211</v>
      </c>
      <c r="C204" s="3">
        <v>661600</v>
      </c>
      <c r="D204" t="s">
        <v>630</v>
      </c>
      <c r="E204" t="s">
        <v>631</v>
      </c>
    </row>
    <row r="205" spans="1:5" x14ac:dyDescent="0.25">
      <c r="A205" t="s">
        <v>638</v>
      </c>
      <c r="B205">
        <v>211</v>
      </c>
      <c r="C205" s="3">
        <v>661600</v>
      </c>
      <c r="D205" t="s">
        <v>639</v>
      </c>
      <c r="E205" t="s">
        <v>640</v>
      </c>
    </row>
    <row r="206" spans="1:5" x14ac:dyDescent="0.25">
      <c r="A206" t="s">
        <v>644</v>
      </c>
      <c r="B206">
        <v>211</v>
      </c>
      <c r="C206" s="3">
        <v>661600</v>
      </c>
      <c r="D206" t="s">
        <v>645</v>
      </c>
      <c r="E206" t="s">
        <v>646</v>
      </c>
    </row>
    <row r="207" spans="1:5" x14ac:dyDescent="0.25">
      <c r="A207" t="s">
        <v>647</v>
      </c>
      <c r="B207">
        <v>211</v>
      </c>
      <c r="C207" s="3">
        <v>661600</v>
      </c>
      <c r="D207" t="s">
        <v>648</v>
      </c>
      <c r="E207" t="s">
        <v>649</v>
      </c>
    </row>
    <row r="208" spans="1:5" x14ac:dyDescent="0.25">
      <c r="A208" t="s">
        <v>653</v>
      </c>
      <c r="B208">
        <v>211</v>
      </c>
      <c r="C208" s="3">
        <v>661600</v>
      </c>
      <c r="D208" t="s">
        <v>654</v>
      </c>
      <c r="E208" t="s">
        <v>655</v>
      </c>
    </row>
    <row r="209" spans="1:5" x14ac:dyDescent="0.25">
      <c r="A209" t="s">
        <v>656</v>
      </c>
      <c r="B209">
        <v>211</v>
      </c>
      <c r="C209" s="3">
        <v>661600</v>
      </c>
      <c r="D209" t="s">
        <v>657</v>
      </c>
      <c r="E209" t="s">
        <v>658</v>
      </c>
    </row>
    <row r="210" spans="1:5" x14ac:dyDescent="0.25">
      <c r="A210" t="s">
        <v>662</v>
      </c>
      <c r="B210">
        <v>211</v>
      </c>
      <c r="C210" s="3">
        <v>661600</v>
      </c>
      <c r="D210" t="s">
        <v>663</v>
      </c>
      <c r="E210" t="s">
        <v>664</v>
      </c>
    </row>
    <row r="211" spans="1:5" x14ac:dyDescent="0.25">
      <c r="A211" t="s">
        <v>671</v>
      </c>
      <c r="B211">
        <v>211</v>
      </c>
      <c r="C211" s="3">
        <v>661600</v>
      </c>
      <c r="D211" t="s">
        <v>672</v>
      </c>
      <c r="E211" t="s">
        <v>673</v>
      </c>
    </row>
    <row r="212" spans="1:5" x14ac:dyDescent="0.25">
      <c r="A212" t="s">
        <v>677</v>
      </c>
      <c r="B212">
        <v>211</v>
      </c>
      <c r="C212" s="3">
        <v>661600</v>
      </c>
      <c r="D212" t="s">
        <v>678</v>
      </c>
      <c r="E212" t="s">
        <v>679</v>
      </c>
    </row>
    <row r="213" spans="1:5" x14ac:dyDescent="0.25">
      <c r="A213" t="s">
        <v>693</v>
      </c>
      <c r="B213">
        <v>211</v>
      </c>
      <c r="C213" s="3">
        <v>661600</v>
      </c>
      <c r="D213" t="s">
        <v>694</v>
      </c>
      <c r="E213" t="s">
        <v>695</v>
      </c>
    </row>
    <row r="214" spans="1:5" x14ac:dyDescent="0.25">
      <c r="A214" t="s">
        <v>702</v>
      </c>
      <c r="B214">
        <v>211</v>
      </c>
      <c r="C214" s="3">
        <v>661600</v>
      </c>
      <c r="D214" t="s">
        <v>703</v>
      </c>
      <c r="E214" t="s">
        <v>704</v>
      </c>
    </row>
    <row r="215" spans="1:5" x14ac:dyDescent="0.25">
      <c r="A215" t="s">
        <v>708</v>
      </c>
      <c r="B215">
        <v>211</v>
      </c>
      <c r="C215" s="3">
        <v>661600</v>
      </c>
      <c r="D215" t="s">
        <v>709</v>
      </c>
      <c r="E215" t="s">
        <v>710</v>
      </c>
    </row>
    <row r="216" spans="1:5" x14ac:dyDescent="0.25">
      <c r="A216" t="s">
        <v>711</v>
      </c>
      <c r="B216">
        <v>211</v>
      </c>
      <c r="C216" s="3">
        <v>661600</v>
      </c>
      <c r="D216" t="s">
        <v>712</v>
      </c>
      <c r="E216" t="s">
        <v>713</v>
      </c>
    </row>
    <row r="217" spans="1:5" x14ac:dyDescent="0.25">
      <c r="A217" t="s">
        <v>723</v>
      </c>
      <c r="B217">
        <v>211</v>
      </c>
      <c r="C217" s="3">
        <v>661600</v>
      </c>
      <c r="D217" t="s">
        <v>724</v>
      </c>
      <c r="E217" t="s">
        <v>725</v>
      </c>
    </row>
    <row r="218" spans="1:5" x14ac:dyDescent="0.25">
      <c r="A218" t="s">
        <v>726</v>
      </c>
      <c r="B218">
        <v>211</v>
      </c>
      <c r="C218" s="3">
        <v>661600</v>
      </c>
      <c r="D218" t="s">
        <v>727</v>
      </c>
      <c r="E218" t="s">
        <v>728</v>
      </c>
    </row>
    <row r="219" spans="1:5" x14ac:dyDescent="0.25">
      <c r="A219" t="s">
        <v>735</v>
      </c>
      <c r="B219">
        <v>211</v>
      </c>
      <c r="C219" s="3">
        <v>661600</v>
      </c>
      <c r="D219" t="s">
        <v>736</v>
      </c>
      <c r="E219" t="s">
        <v>737</v>
      </c>
    </row>
    <row r="220" spans="1:5" x14ac:dyDescent="0.25">
      <c r="A220" t="s">
        <v>738</v>
      </c>
      <c r="B220">
        <v>211</v>
      </c>
      <c r="C220" s="3">
        <v>661600</v>
      </c>
      <c r="D220" t="s">
        <v>739</v>
      </c>
      <c r="E220" t="s">
        <v>740</v>
      </c>
    </row>
    <row r="221" spans="1:5" x14ac:dyDescent="0.25">
      <c r="A221" t="s">
        <v>744</v>
      </c>
      <c r="B221">
        <v>211</v>
      </c>
      <c r="C221" s="3">
        <v>661600</v>
      </c>
      <c r="D221" t="s">
        <v>745</v>
      </c>
      <c r="E221" t="s">
        <v>746</v>
      </c>
    </row>
    <row r="222" spans="1:5" x14ac:dyDescent="0.25">
      <c r="A222" t="s">
        <v>756</v>
      </c>
      <c r="B222">
        <v>211</v>
      </c>
      <c r="C222" s="3">
        <v>661600</v>
      </c>
      <c r="D222" t="s">
        <v>757</v>
      </c>
      <c r="E222" t="s">
        <v>758</v>
      </c>
    </row>
    <row r="223" spans="1:5" x14ac:dyDescent="0.25">
      <c r="A223" t="s">
        <v>774</v>
      </c>
      <c r="B223">
        <v>211</v>
      </c>
      <c r="C223" s="3">
        <v>661600</v>
      </c>
      <c r="D223" t="s">
        <v>775</v>
      </c>
      <c r="E223" t="s">
        <v>776</v>
      </c>
    </row>
    <row r="224" spans="1:5" x14ac:dyDescent="0.25">
      <c r="A224" t="s">
        <v>792</v>
      </c>
      <c r="B224">
        <v>211</v>
      </c>
      <c r="C224" s="3">
        <v>661600</v>
      </c>
      <c r="D224" t="s">
        <v>793</v>
      </c>
      <c r="E224" t="s">
        <v>794</v>
      </c>
    </row>
    <row r="225" spans="1:5" x14ac:dyDescent="0.25">
      <c r="A225" t="s">
        <v>795</v>
      </c>
      <c r="B225">
        <v>211</v>
      </c>
      <c r="C225" s="3">
        <v>661600</v>
      </c>
      <c r="D225" t="s">
        <v>796</v>
      </c>
      <c r="E225" t="s">
        <v>797</v>
      </c>
    </row>
    <row r="226" spans="1:5" x14ac:dyDescent="0.25">
      <c r="A226" t="s">
        <v>801</v>
      </c>
      <c r="B226">
        <v>211</v>
      </c>
      <c r="C226" s="3">
        <v>661600</v>
      </c>
      <c r="D226" t="s">
        <v>802</v>
      </c>
      <c r="E226" t="s">
        <v>803</v>
      </c>
    </row>
    <row r="227" spans="1:5" x14ac:dyDescent="0.25">
      <c r="A227" t="s">
        <v>810</v>
      </c>
      <c r="B227">
        <v>211</v>
      </c>
      <c r="C227" s="3">
        <v>661600</v>
      </c>
      <c r="D227" t="s">
        <v>811</v>
      </c>
      <c r="E227" t="s">
        <v>812</v>
      </c>
    </row>
    <row r="228" spans="1:5" x14ac:dyDescent="0.25">
      <c r="A228" t="s">
        <v>819</v>
      </c>
      <c r="B228">
        <v>211</v>
      </c>
      <c r="C228" s="3">
        <v>661600</v>
      </c>
      <c r="D228" t="s">
        <v>820</v>
      </c>
      <c r="E228" t="s">
        <v>821</v>
      </c>
    </row>
    <row r="229" spans="1:5" x14ac:dyDescent="0.25">
      <c r="A229" t="s">
        <v>825</v>
      </c>
      <c r="B229">
        <v>211</v>
      </c>
      <c r="C229" s="3">
        <v>661600</v>
      </c>
      <c r="D229" t="s">
        <v>826</v>
      </c>
      <c r="E229" t="s">
        <v>827</v>
      </c>
    </row>
    <row r="230" spans="1:5" x14ac:dyDescent="0.25">
      <c r="A230" t="s">
        <v>847</v>
      </c>
      <c r="B230">
        <v>211</v>
      </c>
      <c r="C230" s="3">
        <v>661600</v>
      </c>
      <c r="D230" t="s">
        <v>848</v>
      </c>
      <c r="E230" t="s">
        <v>849</v>
      </c>
    </row>
    <row r="231" spans="1:5" x14ac:dyDescent="0.25">
      <c r="A231" t="s">
        <v>850</v>
      </c>
      <c r="B231">
        <v>211</v>
      </c>
      <c r="C231" s="3">
        <v>661600</v>
      </c>
      <c r="D231" t="s">
        <v>851</v>
      </c>
      <c r="E231" t="s">
        <v>852</v>
      </c>
    </row>
    <row r="232" spans="1:5" x14ac:dyDescent="0.25">
      <c r="A232" t="s">
        <v>859</v>
      </c>
      <c r="B232">
        <v>211</v>
      </c>
      <c r="C232" s="3">
        <v>661600</v>
      </c>
      <c r="D232" t="s">
        <v>860</v>
      </c>
      <c r="E232" t="s">
        <v>861</v>
      </c>
    </row>
    <row r="233" spans="1:5" x14ac:dyDescent="0.25">
      <c r="A233" t="s">
        <v>862</v>
      </c>
      <c r="B233">
        <v>211</v>
      </c>
      <c r="C233" s="3">
        <v>661600</v>
      </c>
      <c r="D233" t="s">
        <v>863</v>
      </c>
      <c r="E233" t="s">
        <v>864</v>
      </c>
    </row>
    <row r="234" spans="1:5" x14ac:dyDescent="0.25">
      <c r="A234" t="s">
        <v>868</v>
      </c>
      <c r="B234">
        <v>211</v>
      </c>
      <c r="C234" s="3">
        <v>661600</v>
      </c>
      <c r="D234" t="s">
        <v>869</v>
      </c>
      <c r="E234" t="s">
        <v>870</v>
      </c>
    </row>
    <row r="235" spans="1:5" x14ac:dyDescent="0.25">
      <c r="A235" t="s">
        <v>874</v>
      </c>
      <c r="B235">
        <v>211</v>
      </c>
      <c r="C235" s="3">
        <v>661600</v>
      </c>
      <c r="D235" t="s">
        <v>875</v>
      </c>
      <c r="E235" t="s">
        <v>876</v>
      </c>
    </row>
    <row r="236" spans="1:5" x14ac:dyDescent="0.25">
      <c r="A236" t="s">
        <v>904</v>
      </c>
      <c r="B236">
        <v>211</v>
      </c>
      <c r="C236" s="3">
        <v>661600</v>
      </c>
      <c r="D236" t="s">
        <v>905</v>
      </c>
      <c r="E236" t="s">
        <v>906</v>
      </c>
    </row>
    <row r="237" spans="1:5" x14ac:dyDescent="0.25">
      <c r="A237" t="s">
        <v>907</v>
      </c>
      <c r="B237">
        <v>211</v>
      </c>
      <c r="C237" s="3">
        <v>661600</v>
      </c>
      <c r="D237" t="s">
        <v>908</v>
      </c>
      <c r="E237" t="s">
        <v>909</v>
      </c>
    </row>
    <row r="238" spans="1:5" x14ac:dyDescent="0.25">
      <c r="A238" t="s">
        <v>910</v>
      </c>
      <c r="B238">
        <v>211</v>
      </c>
      <c r="C238" s="3">
        <v>661600</v>
      </c>
      <c r="D238" t="s">
        <v>911</v>
      </c>
      <c r="E238" t="s">
        <v>912</v>
      </c>
    </row>
    <row r="239" spans="1:5" x14ac:dyDescent="0.25">
      <c r="A239" t="s">
        <v>913</v>
      </c>
      <c r="B239">
        <v>211</v>
      </c>
      <c r="C239" s="3">
        <v>661600</v>
      </c>
      <c r="D239" t="s">
        <v>914</v>
      </c>
      <c r="E239" t="s">
        <v>915</v>
      </c>
    </row>
    <row r="240" spans="1:5" x14ac:dyDescent="0.25">
      <c r="A240" t="s">
        <v>928</v>
      </c>
      <c r="B240">
        <v>211</v>
      </c>
      <c r="C240" s="3">
        <v>661600</v>
      </c>
      <c r="D240" t="s">
        <v>929</v>
      </c>
      <c r="E240" t="s">
        <v>930</v>
      </c>
    </row>
    <row r="241" spans="1:5" x14ac:dyDescent="0.25">
      <c r="A241" t="s">
        <v>934</v>
      </c>
      <c r="B241">
        <v>211</v>
      </c>
      <c r="C241" s="3">
        <v>661600</v>
      </c>
      <c r="D241" t="s">
        <v>935</v>
      </c>
      <c r="E241" t="s">
        <v>936</v>
      </c>
    </row>
    <row r="242" spans="1:5" x14ac:dyDescent="0.25">
      <c r="A242" t="s">
        <v>958</v>
      </c>
      <c r="B242">
        <v>211</v>
      </c>
      <c r="C242" s="3">
        <v>661600</v>
      </c>
      <c r="D242" t="s">
        <v>959</v>
      </c>
      <c r="E242" t="s">
        <v>960</v>
      </c>
    </row>
    <row r="243" spans="1:5" x14ac:dyDescent="0.25">
      <c r="A243" t="s">
        <v>995</v>
      </c>
      <c r="B243">
        <v>211</v>
      </c>
      <c r="C243" s="3">
        <v>661600</v>
      </c>
      <c r="D243" t="s">
        <v>996</v>
      </c>
      <c r="E243" t="s">
        <v>997</v>
      </c>
    </row>
    <row r="244" spans="1:5" x14ac:dyDescent="0.25">
      <c r="A244" t="s">
        <v>1014</v>
      </c>
      <c r="B244">
        <v>211</v>
      </c>
      <c r="C244" s="3">
        <v>661600</v>
      </c>
      <c r="D244" t="s">
        <v>1015</v>
      </c>
      <c r="E244" t="s">
        <v>1016</v>
      </c>
    </row>
    <row r="245" spans="1:5" x14ac:dyDescent="0.25">
      <c r="A245" t="s">
        <v>1026</v>
      </c>
      <c r="B245">
        <v>211</v>
      </c>
      <c r="C245" s="3">
        <v>661600</v>
      </c>
      <c r="D245" t="s">
        <v>1027</v>
      </c>
      <c r="E245" t="s">
        <v>1028</v>
      </c>
    </row>
    <row r="246" spans="1:5" x14ac:dyDescent="0.25">
      <c r="A246" t="s">
        <v>1032</v>
      </c>
      <c r="B246">
        <v>211</v>
      </c>
      <c r="C246" s="3">
        <v>661600</v>
      </c>
      <c r="D246" t="s">
        <v>1033</v>
      </c>
      <c r="E246" t="s">
        <v>1034</v>
      </c>
    </row>
    <row r="247" spans="1:5" x14ac:dyDescent="0.25">
      <c r="A247" t="s">
        <v>1041</v>
      </c>
      <c r="B247">
        <v>211</v>
      </c>
      <c r="C247" s="3">
        <v>661600</v>
      </c>
      <c r="D247" t="s">
        <v>1042</v>
      </c>
      <c r="E247" t="s">
        <v>1043</v>
      </c>
    </row>
    <row r="248" spans="1:5" x14ac:dyDescent="0.25">
      <c r="A248" t="s">
        <v>1047</v>
      </c>
      <c r="B248">
        <v>211</v>
      </c>
      <c r="C248" s="3">
        <v>661600</v>
      </c>
      <c r="D248" t="s">
        <v>1048</v>
      </c>
      <c r="E248" t="s">
        <v>1049</v>
      </c>
    </row>
    <row r="249" spans="1:5" x14ac:dyDescent="0.25">
      <c r="A249" t="s">
        <v>1053</v>
      </c>
      <c r="B249">
        <v>211</v>
      </c>
      <c r="C249" s="3">
        <v>661600</v>
      </c>
      <c r="D249" t="s">
        <v>1054</v>
      </c>
      <c r="E249" t="s">
        <v>1055</v>
      </c>
    </row>
    <row r="250" spans="1:5" x14ac:dyDescent="0.25">
      <c r="A250" t="s">
        <v>1063</v>
      </c>
      <c r="B250">
        <v>211</v>
      </c>
      <c r="C250" s="3">
        <v>661600</v>
      </c>
      <c r="D250" t="s">
        <v>1064</v>
      </c>
      <c r="E250" t="s">
        <v>1065</v>
      </c>
    </row>
    <row r="251" spans="1:5" x14ac:dyDescent="0.25">
      <c r="A251" t="s">
        <v>1078</v>
      </c>
      <c r="B251">
        <v>211</v>
      </c>
      <c r="C251" s="3">
        <v>661600</v>
      </c>
      <c r="D251" t="s">
        <v>1079</v>
      </c>
      <c r="E251" t="s">
        <v>1080</v>
      </c>
    </row>
    <row r="252" spans="1:5" x14ac:dyDescent="0.25">
      <c r="A252" t="s">
        <v>1084</v>
      </c>
      <c r="B252">
        <v>211</v>
      </c>
      <c r="C252" s="3">
        <v>661600</v>
      </c>
      <c r="D252" t="s">
        <v>1085</v>
      </c>
      <c r="E252" t="s">
        <v>1086</v>
      </c>
    </row>
    <row r="253" spans="1:5" x14ac:dyDescent="0.25">
      <c r="A253" t="s">
        <v>1087</v>
      </c>
      <c r="B253">
        <v>211</v>
      </c>
      <c r="C253" s="3">
        <v>661600</v>
      </c>
      <c r="D253" t="s">
        <v>1088</v>
      </c>
      <c r="E253" t="s">
        <v>1089</v>
      </c>
    </row>
    <row r="254" spans="1:5" x14ac:dyDescent="0.25">
      <c r="A254" t="s">
        <v>1090</v>
      </c>
      <c r="B254">
        <v>211</v>
      </c>
      <c r="C254" s="3">
        <v>661600</v>
      </c>
      <c r="D254" t="s">
        <v>1091</v>
      </c>
      <c r="E254" t="s">
        <v>1092</v>
      </c>
    </row>
    <row r="255" spans="1:5" x14ac:dyDescent="0.25">
      <c r="A255" t="s">
        <v>1096</v>
      </c>
      <c r="B255">
        <v>211</v>
      </c>
      <c r="C255" s="3">
        <v>661600</v>
      </c>
      <c r="D255" t="s">
        <v>1097</v>
      </c>
      <c r="E255" t="s">
        <v>1098</v>
      </c>
    </row>
    <row r="256" spans="1:5" x14ac:dyDescent="0.25">
      <c r="A256" t="s">
        <v>1102</v>
      </c>
      <c r="B256">
        <v>211</v>
      </c>
      <c r="C256" s="3">
        <v>661600</v>
      </c>
      <c r="D256" t="s">
        <v>1103</v>
      </c>
      <c r="E256" t="s">
        <v>1104</v>
      </c>
    </row>
    <row r="257" spans="1:5" x14ac:dyDescent="0.25">
      <c r="A257" t="s">
        <v>1105</v>
      </c>
      <c r="B257">
        <v>211</v>
      </c>
      <c r="C257" s="3">
        <v>661600</v>
      </c>
      <c r="D257" t="s">
        <v>1106</v>
      </c>
      <c r="E257" t="s">
        <v>1107</v>
      </c>
    </row>
    <row r="258" spans="1:5" x14ac:dyDescent="0.25">
      <c r="A258" t="s">
        <v>1111</v>
      </c>
      <c r="B258">
        <v>211</v>
      </c>
      <c r="C258" s="3">
        <v>661600</v>
      </c>
      <c r="D258" t="s">
        <v>1112</v>
      </c>
      <c r="E258" t="s">
        <v>1113</v>
      </c>
    </row>
    <row r="259" spans="1:5" x14ac:dyDescent="0.25">
      <c r="A259" t="s">
        <v>1114</v>
      </c>
      <c r="B259">
        <v>211</v>
      </c>
      <c r="C259" s="3">
        <v>661600</v>
      </c>
      <c r="D259" t="s">
        <v>1115</v>
      </c>
      <c r="E259" t="s">
        <v>1116</v>
      </c>
    </row>
    <row r="260" spans="1:5" x14ac:dyDescent="0.25">
      <c r="A260" t="s">
        <v>1166</v>
      </c>
      <c r="B260">
        <v>211</v>
      </c>
      <c r="C260" s="3">
        <v>661600</v>
      </c>
      <c r="D260" t="s">
        <v>1167</v>
      </c>
      <c r="E260" t="s">
        <v>1168</v>
      </c>
    </row>
    <row r="261" spans="1:5" x14ac:dyDescent="0.25">
      <c r="A261" t="s">
        <v>1193</v>
      </c>
      <c r="B261">
        <v>211</v>
      </c>
      <c r="C261" s="3">
        <v>661600</v>
      </c>
      <c r="D261" t="s">
        <v>1194</v>
      </c>
      <c r="E261" t="s">
        <v>1195</v>
      </c>
    </row>
    <row r="262" spans="1:5" x14ac:dyDescent="0.25">
      <c r="A262" t="s">
        <v>1239</v>
      </c>
      <c r="B262">
        <v>211</v>
      </c>
      <c r="C262" s="3">
        <v>661600</v>
      </c>
      <c r="D262" t="s">
        <v>1240</v>
      </c>
      <c r="E262" t="s">
        <v>1241</v>
      </c>
    </row>
    <row r="263" spans="1:5" x14ac:dyDescent="0.25">
      <c r="A263" t="s">
        <v>1251</v>
      </c>
      <c r="B263">
        <v>211</v>
      </c>
      <c r="C263" s="3">
        <v>661600</v>
      </c>
      <c r="D263" t="s">
        <v>1252</v>
      </c>
      <c r="E263" t="s">
        <v>1253</v>
      </c>
    </row>
    <row r="264" spans="1:5" x14ac:dyDescent="0.25">
      <c r="A264" t="s">
        <v>1315</v>
      </c>
      <c r="B264">
        <v>211</v>
      </c>
      <c r="C264" s="3">
        <v>661600</v>
      </c>
      <c r="D264" t="s">
        <v>1316</v>
      </c>
      <c r="E264" t="s">
        <v>1317</v>
      </c>
    </row>
    <row r="265" spans="1:5" x14ac:dyDescent="0.25">
      <c r="A265" t="s">
        <v>1327</v>
      </c>
      <c r="B265">
        <v>211</v>
      </c>
      <c r="C265" s="3">
        <v>661600</v>
      </c>
      <c r="D265" t="s">
        <v>1328</v>
      </c>
      <c r="E265" t="s">
        <v>1329</v>
      </c>
    </row>
    <row r="266" spans="1:5" x14ac:dyDescent="0.25">
      <c r="A266" t="s">
        <v>1333</v>
      </c>
      <c r="B266">
        <v>211</v>
      </c>
      <c r="C266" s="3">
        <v>661600</v>
      </c>
      <c r="D266" t="s">
        <v>1334</v>
      </c>
      <c r="E266" t="s">
        <v>1335</v>
      </c>
    </row>
    <row r="267" spans="1:5" x14ac:dyDescent="0.25">
      <c r="A267" t="s">
        <v>279</v>
      </c>
      <c r="B267">
        <v>307</v>
      </c>
      <c r="C267" s="3">
        <v>832500</v>
      </c>
      <c r="D267" t="s">
        <v>280</v>
      </c>
      <c r="E267" t="s">
        <v>281</v>
      </c>
    </row>
    <row r="268" spans="1:5" x14ac:dyDescent="0.25">
      <c r="A268" t="s">
        <v>285</v>
      </c>
      <c r="B268">
        <v>307</v>
      </c>
      <c r="C268" s="3">
        <v>832500</v>
      </c>
      <c r="D268" t="s">
        <v>286</v>
      </c>
      <c r="E268" t="s">
        <v>287</v>
      </c>
    </row>
    <row r="269" spans="1:5" x14ac:dyDescent="0.25">
      <c r="A269" t="s">
        <v>288</v>
      </c>
      <c r="B269">
        <v>307</v>
      </c>
      <c r="C269" s="3">
        <v>832500</v>
      </c>
      <c r="D269" t="s">
        <v>289</v>
      </c>
      <c r="E269" t="s">
        <v>290</v>
      </c>
    </row>
    <row r="270" spans="1:5" x14ac:dyDescent="0.25">
      <c r="A270" t="s">
        <v>300</v>
      </c>
      <c r="B270">
        <v>307</v>
      </c>
      <c r="C270" s="3">
        <v>832500</v>
      </c>
      <c r="D270" t="s">
        <v>301</v>
      </c>
      <c r="E270" t="s">
        <v>302</v>
      </c>
    </row>
    <row r="271" spans="1:5" x14ac:dyDescent="0.25">
      <c r="A271" t="s">
        <v>312</v>
      </c>
      <c r="B271">
        <v>307</v>
      </c>
      <c r="C271" s="3">
        <v>832500</v>
      </c>
      <c r="D271" t="s">
        <v>313</v>
      </c>
      <c r="E271" t="s">
        <v>314</v>
      </c>
    </row>
    <row r="272" spans="1:5" x14ac:dyDescent="0.25">
      <c r="A272" t="s">
        <v>339</v>
      </c>
      <c r="B272">
        <v>307</v>
      </c>
      <c r="C272" s="3">
        <v>832500</v>
      </c>
      <c r="D272" t="s">
        <v>340</v>
      </c>
      <c r="E272" t="s">
        <v>341</v>
      </c>
    </row>
    <row r="273" spans="1:5" x14ac:dyDescent="0.25">
      <c r="A273" t="s">
        <v>366</v>
      </c>
      <c r="B273">
        <v>307</v>
      </c>
      <c r="C273" s="3">
        <v>832500</v>
      </c>
      <c r="D273" t="s">
        <v>367</v>
      </c>
      <c r="E273" t="s">
        <v>368</v>
      </c>
    </row>
    <row r="274" spans="1:5" x14ac:dyDescent="0.25">
      <c r="A274" t="s">
        <v>399</v>
      </c>
      <c r="B274">
        <v>307</v>
      </c>
      <c r="C274" s="3">
        <v>832500</v>
      </c>
      <c r="D274" t="s">
        <v>400</v>
      </c>
      <c r="E274" t="s">
        <v>401</v>
      </c>
    </row>
    <row r="275" spans="1:5" x14ac:dyDescent="0.25">
      <c r="A275" t="s">
        <v>402</v>
      </c>
      <c r="B275">
        <v>307</v>
      </c>
      <c r="C275" s="3">
        <v>832500</v>
      </c>
      <c r="D275" t="s">
        <v>403</v>
      </c>
      <c r="E275" t="s">
        <v>404</v>
      </c>
    </row>
    <row r="276" spans="1:5" x14ac:dyDescent="0.25">
      <c r="A276" t="s">
        <v>503</v>
      </c>
      <c r="B276">
        <v>307</v>
      </c>
      <c r="C276" s="3">
        <v>832500</v>
      </c>
      <c r="D276" t="s">
        <v>504</v>
      </c>
      <c r="E276" t="s">
        <v>505</v>
      </c>
    </row>
    <row r="277" spans="1:5" x14ac:dyDescent="0.25">
      <c r="A277" t="s">
        <v>765</v>
      </c>
      <c r="B277">
        <v>307</v>
      </c>
      <c r="C277" s="3">
        <v>832500</v>
      </c>
      <c r="D277" t="s">
        <v>766</v>
      </c>
      <c r="E277" t="s">
        <v>767</v>
      </c>
    </row>
    <row r="278" spans="1:5" x14ac:dyDescent="0.25">
      <c r="A278" t="s">
        <v>813</v>
      </c>
      <c r="B278">
        <v>307</v>
      </c>
      <c r="C278" s="3">
        <v>832500</v>
      </c>
      <c r="D278" t="s">
        <v>814</v>
      </c>
      <c r="E278" t="s">
        <v>815</v>
      </c>
    </row>
    <row r="279" spans="1:5" x14ac:dyDescent="0.25">
      <c r="A279" t="s">
        <v>838</v>
      </c>
      <c r="B279">
        <v>307</v>
      </c>
      <c r="C279" s="3">
        <v>832500</v>
      </c>
      <c r="D279" t="s">
        <v>839</v>
      </c>
      <c r="E279" t="s">
        <v>840</v>
      </c>
    </row>
    <row r="280" spans="1:5" x14ac:dyDescent="0.25">
      <c r="A280" t="s">
        <v>1038</v>
      </c>
      <c r="B280">
        <v>307</v>
      </c>
      <c r="C280" s="3">
        <v>832500</v>
      </c>
      <c r="D280" t="s">
        <v>1039</v>
      </c>
      <c r="E280" t="s">
        <v>1040</v>
      </c>
    </row>
    <row r="281" spans="1:5" x14ac:dyDescent="0.25">
      <c r="A281" t="s">
        <v>237</v>
      </c>
      <c r="B281">
        <v>552</v>
      </c>
      <c r="C281" s="3">
        <v>1179710</v>
      </c>
      <c r="D281" t="s">
        <v>238</v>
      </c>
      <c r="E281" t="s">
        <v>239</v>
      </c>
    </row>
    <row r="282" spans="1:5" x14ac:dyDescent="0.25">
      <c r="A282" t="s">
        <v>844</v>
      </c>
      <c r="B282">
        <v>552</v>
      </c>
      <c r="C282" s="3">
        <v>1179710</v>
      </c>
      <c r="D282" t="s">
        <v>845</v>
      </c>
      <c r="E282" t="s">
        <v>846</v>
      </c>
    </row>
    <row r="283" spans="1:5" x14ac:dyDescent="0.25">
      <c r="A283" t="s">
        <v>961</v>
      </c>
      <c r="B283">
        <v>552</v>
      </c>
      <c r="C283" s="3">
        <v>1179710</v>
      </c>
      <c r="D283" t="s">
        <v>962</v>
      </c>
    </row>
    <row r="284" spans="1:5" x14ac:dyDescent="0.25">
      <c r="A284" t="s">
        <v>1139</v>
      </c>
      <c r="B284">
        <v>552</v>
      </c>
      <c r="C284" s="3">
        <v>1179710</v>
      </c>
      <c r="D284" t="s">
        <v>1140</v>
      </c>
      <c r="E284" t="s">
        <v>1141</v>
      </c>
    </row>
    <row r="285" spans="1:5" x14ac:dyDescent="0.25">
      <c r="A285" t="s">
        <v>1151</v>
      </c>
      <c r="B285">
        <v>552</v>
      </c>
      <c r="C285" s="3">
        <v>1179710</v>
      </c>
      <c r="D285" t="s">
        <v>1152</v>
      </c>
      <c r="E285" t="s">
        <v>1153</v>
      </c>
    </row>
    <row r="286" spans="1:5" x14ac:dyDescent="0.25">
      <c r="A286" t="s">
        <v>1372</v>
      </c>
      <c r="B286">
        <v>552</v>
      </c>
      <c r="C286" s="3">
        <v>1179710</v>
      </c>
      <c r="D286" t="s">
        <v>1373</v>
      </c>
      <c r="E286" t="s">
        <v>1374</v>
      </c>
    </row>
    <row r="287" spans="1:5" x14ac:dyDescent="0.25">
      <c r="A287" t="s">
        <v>1474</v>
      </c>
      <c r="B287">
        <v>552</v>
      </c>
      <c r="C287" s="3">
        <v>1179710</v>
      </c>
      <c r="D287" t="s">
        <v>1475</v>
      </c>
      <c r="E287" t="s">
        <v>1476</v>
      </c>
    </row>
    <row r="288" spans="1:5" x14ac:dyDescent="0.25">
      <c r="A288" t="s">
        <v>1491</v>
      </c>
      <c r="B288">
        <v>552</v>
      </c>
      <c r="C288" s="3">
        <v>1179710</v>
      </c>
      <c r="D288" t="s">
        <v>1492</v>
      </c>
      <c r="E288" t="s">
        <v>1493</v>
      </c>
    </row>
    <row r="289" spans="1:5" x14ac:dyDescent="0.25">
      <c r="A289" t="s">
        <v>1494</v>
      </c>
      <c r="B289">
        <v>552</v>
      </c>
      <c r="C289" s="3">
        <v>1179710</v>
      </c>
      <c r="E289" t="s">
        <v>1495</v>
      </c>
    </row>
    <row r="290" spans="1:5" x14ac:dyDescent="0.25">
      <c r="A290" t="s">
        <v>1496</v>
      </c>
      <c r="B290">
        <v>552</v>
      </c>
      <c r="C290" s="3">
        <v>1179710</v>
      </c>
      <c r="D290" t="s">
        <v>1497</v>
      </c>
      <c r="E290" t="s">
        <v>1498</v>
      </c>
    </row>
    <row r="291" spans="1:5" x14ac:dyDescent="0.25">
      <c r="A291" t="s">
        <v>1499</v>
      </c>
      <c r="B291">
        <v>552</v>
      </c>
      <c r="C291" s="3">
        <v>1179710</v>
      </c>
      <c r="D291" t="s">
        <v>1500</v>
      </c>
      <c r="E291" t="s">
        <v>1501</v>
      </c>
    </row>
    <row r="292" spans="1:5" x14ac:dyDescent="0.25">
      <c r="A292" t="s">
        <v>1502</v>
      </c>
      <c r="B292">
        <v>552</v>
      </c>
      <c r="C292" s="3">
        <v>1179710</v>
      </c>
      <c r="D292" t="s">
        <v>1503</v>
      </c>
      <c r="E292" t="s">
        <v>1504</v>
      </c>
    </row>
    <row r="293" spans="1:5" x14ac:dyDescent="0.25">
      <c r="A293" t="s">
        <v>1505</v>
      </c>
      <c r="B293">
        <v>552</v>
      </c>
      <c r="C293" s="3">
        <v>1179710</v>
      </c>
      <c r="D293" t="s">
        <v>1506</v>
      </c>
      <c r="E293" t="s">
        <v>1507</v>
      </c>
    </row>
    <row r="294" spans="1:5" x14ac:dyDescent="0.25">
      <c r="A294" t="s">
        <v>1521</v>
      </c>
      <c r="B294">
        <v>552</v>
      </c>
      <c r="C294" s="3">
        <v>1179710</v>
      </c>
      <c r="D294" t="s">
        <v>1522</v>
      </c>
      <c r="E294" t="s">
        <v>1523</v>
      </c>
    </row>
    <row r="295" spans="1:5" x14ac:dyDescent="0.25">
      <c r="A295" t="s">
        <v>1524</v>
      </c>
      <c r="B295">
        <v>552</v>
      </c>
      <c r="C295" s="3">
        <v>1179710</v>
      </c>
      <c r="D295" t="s">
        <v>1525</v>
      </c>
      <c r="E295" t="s">
        <v>1526</v>
      </c>
    </row>
    <row r="296" spans="1:5" x14ac:dyDescent="0.25">
      <c r="A296" t="s">
        <v>1527</v>
      </c>
      <c r="B296">
        <v>552</v>
      </c>
      <c r="C296" s="3">
        <v>1179710</v>
      </c>
      <c r="D296" t="s">
        <v>1528</v>
      </c>
      <c r="E296" t="s">
        <v>1529</v>
      </c>
    </row>
    <row r="297" spans="1:5" x14ac:dyDescent="0.25">
      <c r="A297" t="s">
        <v>1530</v>
      </c>
      <c r="B297">
        <v>552</v>
      </c>
      <c r="C297" s="3">
        <v>1179710</v>
      </c>
      <c r="D297" t="s">
        <v>1531</v>
      </c>
      <c r="E297" t="s">
        <v>1532</v>
      </c>
    </row>
    <row r="298" spans="1:5" x14ac:dyDescent="0.25">
      <c r="A298" t="s">
        <v>1533</v>
      </c>
      <c r="B298">
        <v>552</v>
      </c>
      <c r="C298" s="3">
        <v>1179710</v>
      </c>
      <c r="D298" t="s">
        <v>1534</v>
      </c>
      <c r="E298" t="s">
        <v>1535</v>
      </c>
    </row>
    <row r="299" spans="1:5" x14ac:dyDescent="0.25">
      <c r="A299" t="s">
        <v>234</v>
      </c>
      <c r="B299">
        <v>582</v>
      </c>
      <c r="C299" s="3">
        <v>1272810</v>
      </c>
      <c r="D299" t="s">
        <v>235</v>
      </c>
      <c r="E299" t="s">
        <v>236</v>
      </c>
    </row>
    <row r="300" spans="1:5" x14ac:dyDescent="0.25">
      <c r="A300" t="s">
        <v>470</v>
      </c>
      <c r="B300">
        <v>582</v>
      </c>
      <c r="C300" s="3">
        <v>1272810</v>
      </c>
      <c r="D300" t="s">
        <v>471</v>
      </c>
      <c r="E300" t="s">
        <v>472</v>
      </c>
    </row>
    <row r="301" spans="1:5" x14ac:dyDescent="0.25">
      <c r="A301" t="s">
        <v>683</v>
      </c>
      <c r="B301">
        <v>582</v>
      </c>
      <c r="C301" s="3">
        <v>1272810</v>
      </c>
      <c r="D301" t="s">
        <v>684</v>
      </c>
      <c r="E301" t="s">
        <v>685</v>
      </c>
    </row>
    <row r="302" spans="1:5" x14ac:dyDescent="0.25">
      <c r="A302" t="s">
        <v>705</v>
      </c>
      <c r="B302">
        <v>582</v>
      </c>
      <c r="C302" s="3">
        <v>1272810</v>
      </c>
      <c r="D302" t="s">
        <v>706</v>
      </c>
      <c r="E302" t="s">
        <v>707</v>
      </c>
    </row>
    <row r="303" spans="1:5" x14ac:dyDescent="0.25">
      <c r="A303" t="s">
        <v>714</v>
      </c>
      <c r="B303">
        <v>582</v>
      </c>
      <c r="C303" s="3">
        <v>1272810</v>
      </c>
      <c r="D303" t="s">
        <v>715</v>
      </c>
      <c r="E303" t="s">
        <v>716</v>
      </c>
    </row>
    <row r="304" spans="1:5" x14ac:dyDescent="0.25">
      <c r="A304" t="s">
        <v>777</v>
      </c>
      <c r="B304">
        <v>582</v>
      </c>
      <c r="C304" s="3">
        <v>1272810</v>
      </c>
      <c r="D304" t="s">
        <v>778</v>
      </c>
      <c r="E304" t="s">
        <v>779</v>
      </c>
    </row>
    <row r="305" spans="1:5" x14ac:dyDescent="0.25">
      <c r="A305" t="s">
        <v>853</v>
      </c>
      <c r="B305">
        <v>582</v>
      </c>
      <c r="C305" s="3">
        <v>1272810</v>
      </c>
      <c r="D305" t="s">
        <v>854</v>
      </c>
      <c r="E305" t="s">
        <v>855</v>
      </c>
    </row>
    <row r="306" spans="1:5" x14ac:dyDescent="0.25">
      <c r="A306" t="s">
        <v>975</v>
      </c>
      <c r="B306">
        <v>582</v>
      </c>
      <c r="C306" s="3">
        <v>1272810</v>
      </c>
      <c r="D306" t="s">
        <v>976</v>
      </c>
      <c r="E306" t="s">
        <v>977</v>
      </c>
    </row>
    <row r="307" spans="1:5" x14ac:dyDescent="0.25">
      <c r="A307" t="s">
        <v>1002</v>
      </c>
      <c r="B307">
        <v>582</v>
      </c>
      <c r="C307" s="3">
        <v>1272810</v>
      </c>
      <c r="D307" t="s">
        <v>1003</v>
      </c>
      <c r="E307" t="s">
        <v>1004</v>
      </c>
    </row>
    <row r="308" spans="1:5" x14ac:dyDescent="0.25">
      <c r="A308" t="s">
        <v>1029</v>
      </c>
      <c r="B308">
        <v>582</v>
      </c>
      <c r="C308" s="3">
        <v>1272810</v>
      </c>
      <c r="D308" t="s">
        <v>1030</v>
      </c>
      <c r="E308" t="s">
        <v>1031</v>
      </c>
    </row>
    <row r="309" spans="1:5" x14ac:dyDescent="0.25">
      <c r="A309" t="s">
        <v>1066</v>
      </c>
      <c r="B309">
        <v>582</v>
      </c>
      <c r="C309" s="3">
        <v>1272810</v>
      </c>
      <c r="D309" t="s">
        <v>1067</v>
      </c>
      <c r="E309" t="s">
        <v>1068</v>
      </c>
    </row>
    <row r="310" spans="1:5" x14ac:dyDescent="0.25">
      <c r="A310" t="s">
        <v>1118</v>
      </c>
      <c r="B310">
        <v>582</v>
      </c>
      <c r="C310" s="3">
        <v>1272810</v>
      </c>
      <c r="D310" t="s">
        <v>1119</v>
      </c>
      <c r="E310" t="s">
        <v>1120</v>
      </c>
    </row>
    <row r="311" spans="1:5" x14ac:dyDescent="0.25">
      <c r="A311" t="s">
        <v>1160</v>
      </c>
      <c r="B311">
        <v>582</v>
      </c>
      <c r="C311" s="3">
        <v>1272810</v>
      </c>
      <c r="D311" t="s">
        <v>1161</v>
      </c>
      <c r="E311" t="s">
        <v>1162</v>
      </c>
    </row>
    <row r="312" spans="1:5" x14ac:dyDescent="0.25">
      <c r="A312" t="s">
        <v>1169</v>
      </c>
      <c r="B312">
        <v>582</v>
      </c>
      <c r="C312" s="3">
        <v>1272810</v>
      </c>
      <c r="D312" t="s">
        <v>1170</v>
      </c>
      <c r="E312" t="s">
        <v>1171</v>
      </c>
    </row>
    <row r="313" spans="1:5" x14ac:dyDescent="0.25">
      <c r="A313" t="s">
        <v>1172</v>
      </c>
      <c r="B313">
        <v>582</v>
      </c>
      <c r="C313" s="3">
        <v>1272810</v>
      </c>
      <c r="D313" t="s">
        <v>1173</v>
      </c>
      <c r="E313" t="s">
        <v>1174</v>
      </c>
    </row>
    <row r="314" spans="1:5" x14ac:dyDescent="0.25">
      <c r="A314" t="s">
        <v>1175</v>
      </c>
      <c r="B314">
        <v>582</v>
      </c>
      <c r="C314" s="3">
        <v>1272810</v>
      </c>
      <c r="D314" t="s">
        <v>1176</v>
      </c>
      <c r="E314" t="s">
        <v>1177</v>
      </c>
    </row>
    <row r="315" spans="1:5" x14ac:dyDescent="0.25">
      <c r="A315" t="s">
        <v>1205</v>
      </c>
      <c r="B315">
        <v>582</v>
      </c>
      <c r="C315" s="3">
        <v>1272810</v>
      </c>
      <c r="D315" t="s">
        <v>1206</v>
      </c>
      <c r="E315" t="s">
        <v>1207</v>
      </c>
    </row>
    <row r="316" spans="1:5" x14ac:dyDescent="0.25">
      <c r="A316" t="s">
        <v>1214</v>
      </c>
      <c r="B316">
        <v>582</v>
      </c>
      <c r="C316" s="3">
        <v>1272810</v>
      </c>
      <c r="D316" t="s">
        <v>1215</v>
      </c>
      <c r="E316" t="s">
        <v>1216</v>
      </c>
    </row>
    <row r="317" spans="1:5" x14ac:dyDescent="0.25">
      <c r="A317" t="s">
        <v>1217</v>
      </c>
      <c r="B317">
        <v>582</v>
      </c>
      <c r="C317" s="3">
        <v>1272810</v>
      </c>
      <c r="D317" t="s">
        <v>1218</v>
      </c>
      <c r="E317" t="s">
        <v>1219</v>
      </c>
    </row>
    <row r="318" spans="1:5" x14ac:dyDescent="0.25">
      <c r="A318" t="s">
        <v>1223</v>
      </c>
      <c r="B318">
        <v>582</v>
      </c>
      <c r="C318" s="3">
        <v>1272810</v>
      </c>
      <c r="D318" t="s">
        <v>1224</v>
      </c>
      <c r="E318" t="s">
        <v>1225</v>
      </c>
    </row>
    <row r="319" spans="1:5" x14ac:dyDescent="0.25">
      <c r="A319" t="s">
        <v>1226</v>
      </c>
      <c r="B319">
        <v>582</v>
      </c>
      <c r="C319" s="3">
        <v>1272810</v>
      </c>
      <c r="D319" t="s">
        <v>1227</v>
      </c>
      <c r="E319" t="s">
        <v>1228</v>
      </c>
    </row>
    <row r="320" spans="1:5" x14ac:dyDescent="0.25">
      <c r="A320" t="s">
        <v>1230</v>
      </c>
      <c r="B320">
        <v>582</v>
      </c>
      <c r="C320" s="3">
        <v>1272810</v>
      </c>
      <c r="D320" t="s">
        <v>1231</v>
      </c>
      <c r="E320" t="s">
        <v>1232</v>
      </c>
    </row>
    <row r="321" spans="1:5" x14ac:dyDescent="0.25">
      <c r="A321" t="s">
        <v>1236</v>
      </c>
      <c r="B321">
        <v>582</v>
      </c>
      <c r="C321" s="3">
        <v>1272810</v>
      </c>
      <c r="D321" t="s">
        <v>1237</v>
      </c>
      <c r="E321" t="s">
        <v>1238</v>
      </c>
    </row>
    <row r="322" spans="1:5" x14ac:dyDescent="0.25">
      <c r="A322" t="s">
        <v>1257</v>
      </c>
      <c r="B322">
        <v>582</v>
      </c>
      <c r="C322" s="3">
        <v>1272810</v>
      </c>
      <c r="D322" t="s">
        <v>1258</v>
      </c>
      <c r="E322" t="s">
        <v>1259</v>
      </c>
    </row>
    <row r="323" spans="1:5" x14ac:dyDescent="0.25">
      <c r="A323" t="s">
        <v>1263</v>
      </c>
      <c r="B323">
        <v>582</v>
      </c>
      <c r="C323" s="3">
        <v>1272810</v>
      </c>
      <c r="D323" t="s">
        <v>1264</v>
      </c>
      <c r="E323" t="s">
        <v>1265</v>
      </c>
    </row>
    <row r="324" spans="1:5" x14ac:dyDescent="0.25">
      <c r="A324" t="s">
        <v>1272</v>
      </c>
      <c r="B324">
        <v>582</v>
      </c>
      <c r="C324" s="3">
        <v>1272810</v>
      </c>
      <c r="D324" t="s">
        <v>1273</v>
      </c>
      <c r="E324" t="s">
        <v>1274</v>
      </c>
    </row>
    <row r="325" spans="1:5" x14ac:dyDescent="0.25">
      <c r="A325" t="s">
        <v>1278</v>
      </c>
      <c r="B325">
        <v>582</v>
      </c>
      <c r="C325" s="3">
        <v>1272810</v>
      </c>
      <c r="D325" t="s">
        <v>1279</v>
      </c>
      <c r="E325" t="s">
        <v>1280</v>
      </c>
    </row>
    <row r="326" spans="1:5" x14ac:dyDescent="0.25">
      <c r="A326" t="s">
        <v>1281</v>
      </c>
      <c r="B326">
        <v>582</v>
      </c>
      <c r="C326" s="3">
        <v>1272810</v>
      </c>
      <c r="D326" t="s">
        <v>1282</v>
      </c>
      <c r="E326" t="s">
        <v>1283</v>
      </c>
    </row>
    <row r="327" spans="1:5" x14ac:dyDescent="0.25">
      <c r="A327" t="s">
        <v>1289</v>
      </c>
      <c r="B327">
        <v>582</v>
      </c>
      <c r="C327" s="3">
        <v>1272810</v>
      </c>
      <c r="D327" t="s">
        <v>1290</v>
      </c>
      <c r="E327" t="s">
        <v>1291</v>
      </c>
    </row>
    <row r="328" spans="1:5" x14ac:dyDescent="0.25">
      <c r="A328" t="s">
        <v>1292</v>
      </c>
      <c r="B328">
        <v>582</v>
      </c>
      <c r="C328" s="3">
        <v>1272810</v>
      </c>
      <c r="D328" t="s">
        <v>1293</v>
      </c>
      <c r="E328" t="s">
        <v>1294</v>
      </c>
    </row>
    <row r="329" spans="1:5" x14ac:dyDescent="0.25">
      <c r="A329" t="s">
        <v>1295</v>
      </c>
      <c r="B329">
        <v>582</v>
      </c>
      <c r="C329" s="3">
        <v>1272810</v>
      </c>
      <c r="D329" t="s">
        <v>1296</v>
      </c>
      <c r="E329" t="s">
        <v>1297</v>
      </c>
    </row>
    <row r="330" spans="1:5" x14ac:dyDescent="0.25">
      <c r="A330" t="s">
        <v>1298</v>
      </c>
      <c r="B330">
        <v>582</v>
      </c>
      <c r="C330" s="3">
        <v>1272810</v>
      </c>
      <c r="D330" t="s">
        <v>1299</v>
      </c>
      <c r="E330" t="s">
        <v>1300</v>
      </c>
    </row>
    <row r="331" spans="1:5" x14ac:dyDescent="0.25">
      <c r="A331" t="s">
        <v>1301</v>
      </c>
      <c r="B331">
        <v>582</v>
      </c>
      <c r="C331" s="3">
        <v>1272810</v>
      </c>
      <c r="D331" t="s">
        <v>1302</v>
      </c>
      <c r="E331" t="s">
        <v>1303</v>
      </c>
    </row>
    <row r="332" spans="1:5" x14ac:dyDescent="0.25">
      <c r="A332" t="s">
        <v>1309</v>
      </c>
      <c r="B332">
        <v>582</v>
      </c>
      <c r="C332" s="3">
        <v>1272810</v>
      </c>
      <c r="E332" t="s">
        <v>1310</v>
      </c>
    </row>
    <row r="333" spans="1:5" x14ac:dyDescent="0.25">
      <c r="A333" t="s">
        <v>1311</v>
      </c>
      <c r="B333">
        <v>582</v>
      </c>
      <c r="C333" s="3">
        <v>1272810</v>
      </c>
      <c r="D333" t="s">
        <v>1312</v>
      </c>
      <c r="E333" t="s">
        <v>1313</v>
      </c>
    </row>
    <row r="334" spans="1:5" x14ac:dyDescent="0.25">
      <c r="A334" t="s">
        <v>1318</v>
      </c>
      <c r="B334">
        <v>582</v>
      </c>
      <c r="C334" s="3">
        <v>1272810</v>
      </c>
      <c r="D334" t="s">
        <v>1319</v>
      </c>
      <c r="E334" t="s">
        <v>1320</v>
      </c>
    </row>
    <row r="335" spans="1:5" x14ac:dyDescent="0.25">
      <c r="A335" t="s">
        <v>1321</v>
      </c>
      <c r="B335">
        <v>582</v>
      </c>
      <c r="C335" s="3">
        <v>1272810</v>
      </c>
      <c r="D335" t="s">
        <v>1322</v>
      </c>
      <c r="E335" t="s">
        <v>1323</v>
      </c>
    </row>
    <row r="336" spans="1:5" x14ac:dyDescent="0.25">
      <c r="A336" t="s">
        <v>1324</v>
      </c>
      <c r="B336">
        <v>582</v>
      </c>
      <c r="C336" s="3">
        <v>1272810</v>
      </c>
      <c r="D336" t="s">
        <v>1325</v>
      </c>
      <c r="E336" t="s">
        <v>1326</v>
      </c>
    </row>
    <row r="337" spans="1:5" x14ac:dyDescent="0.25">
      <c r="A337" t="s">
        <v>1351</v>
      </c>
      <c r="B337">
        <v>582</v>
      </c>
      <c r="C337" s="3">
        <v>1272810</v>
      </c>
      <c r="D337" t="s">
        <v>1352</v>
      </c>
      <c r="E337" t="s">
        <v>1353</v>
      </c>
    </row>
    <row r="338" spans="1:5" x14ac:dyDescent="0.25">
      <c r="A338" t="s">
        <v>1354</v>
      </c>
      <c r="B338">
        <v>582</v>
      </c>
      <c r="C338" s="3">
        <v>1272810</v>
      </c>
      <c r="D338" t="s">
        <v>1355</v>
      </c>
      <c r="E338" t="s">
        <v>1356</v>
      </c>
    </row>
    <row r="339" spans="1:5" x14ac:dyDescent="0.25">
      <c r="A339" t="s">
        <v>1357</v>
      </c>
      <c r="B339">
        <v>582</v>
      </c>
      <c r="C339" s="3">
        <v>1272810</v>
      </c>
      <c r="D339" t="s">
        <v>1358</v>
      </c>
      <c r="E339" t="s">
        <v>1359</v>
      </c>
    </row>
    <row r="340" spans="1:5" x14ac:dyDescent="0.25">
      <c r="A340" t="s">
        <v>1369</v>
      </c>
      <c r="B340">
        <v>582</v>
      </c>
      <c r="C340" s="3">
        <v>1272810</v>
      </c>
      <c r="D340" t="s">
        <v>1370</v>
      </c>
      <c r="E340" t="s">
        <v>1371</v>
      </c>
    </row>
    <row r="341" spans="1:5" x14ac:dyDescent="0.25">
      <c r="A341" t="s">
        <v>1375</v>
      </c>
      <c r="B341">
        <v>582</v>
      </c>
      <c r="C341" s="3">
        <v>1272810</v>
      </c>
      <c r="D341" t="s">
        <v>1376</v>
      </c>
      <c r="E341" t="s">
        <v>1377</v>
      </c>
    </row>
    <row r="342" spans="1:5" x14ac:dyDescent="0.25">
      <c r="A342" t="s">
        <v>1378</v>
      </c>
      <c r="B342">
        <v>582</v>
      </c>
      <c r="C342" s="3">
        <v>1272810</v>
      </c>
      <c r="D342" t="s">
        <v>1379</v>
      </c>
      <c r="E342" t="s">
        <v>1380</v>
      </c>
    </row>
    <row r="343" spans="1:5" x14ac:dyDescent="0.25">
      <c r="A343" t="s">
        <v>1384</v>
      </c>
      <c r="B343">
        <v>582</v>
      </c>
      <c r="C343" s="3">
        <v>1272810</v>
      </c>
      <c r="D343" t="s">
        <v>1385</v>
      </c>
      <c r="E343" t="s">
        <v>1386</v>
      </c>
    </row>
    <row r="344" spans="1:5" x14ac:dyDescent="0.25">
      <c r="A344" t="s">
        <v>1387</v>
      </c>
      <c r="B344">
        <v>582</v>
      </c>
      <c r="C344" s="3">
        <v>1272810</v>
      </c>
      <c r="D344" t="s">
        <v>1388</v>
      </c>
      <c r="E344" t="s">
        <v>1389</v>
      </c>
    </row>
    <row r="345" spans="1:5" x14ac:dyDescent="0.25">
      <c r="A345" t="s">
        <v>1405</v>
      </c>
      <c r="B345">
        <v>582</v>
      </c>
      <c r="C345" s="3">
        <v>1272810</v>
      </c>
    </row>
    <row r="346" spans="1:5" x14ac:dyDescent="0.25">
      <c r="A346" t="s">
        <v>1415</v>
      </c>
      <c r="B346">
        <v>582</v>
      </c>
      <c r="C346" s="3">
        <v>1272810</v>
      </c>
      <c r="D346" t="s">
        <v>1416</v>
      </c>
      <c r="E346" t="s">
        <v>1417</v>
      </c>
    </row>
    <row r="347" spans="1:5" x14ac:dyDescent="0.25">
      <c r="A347" t="s">
        <v>1418</v>
      </c>
      <c r="B347">
        <v>582</v>
      </c>
      <c r="C347" s="3">
        <v>1272810</v>
      </c>
      <c r="D347" t="s">
        <v>1419</v>
      </c>
      <c r="E347" t="s">
        <v>1420</v>
      </c>
    </row>
    <row r="348" spans="1:5" x14ac:dyDescent="0.25">
      <c r="A348" t="s">
        <v>1421</v>
      </c>
      <c r="B348">
        <v>582</v>
      </c>
      <c r="C348" s="3">
        <v>1272810</v>
      </c>
      <c r="D348" t="s">
        <v>1422</v>
      </c>
      <c r="E348" t="s">
        <v>1423</v>
      </c>
    </row>
    <row r="349" spans="1:5" x14ac:dyDescent="0.25">
      <c r="A349" t="s">
        <v>1430</v>
      </c>
      <c r="B349">
        <v>582</v>
      </c>
      <c r="C349" s="3">
        <v>1272810</v>
      </c>
      <c r="D349" t="s">
        <v>1431</v>
      </c>
      <c r="E349" t="s">
        <v>1432</v>
      </c>
    </row>
    <row r="350" spans="1:5" x14ac:dyDescent="0.25">
      <c r="A350" t="s">
        <v>1436</v>
      </c>
      <c r="B350">
        <v>582</v>
      </c>
      <c r="C350" s="3">
        <v>1272810</v>
      </c>
      <c r="D350" t="s">
        <v>1437</v>
      </c>
      <c r="E350" t="s">
        <v>1438</v>
      </c>
    </row>
    <row r="351" spans="1:5" x14ac:dyDescent="0.25">
      <c r="A351" t="s">
        <v>1442</v>
      </c>
      <c r="B351">
        <v>582</v>
      </c>
      <c r="C351" s="3">
        <v>1272810</v>
      </c>
      <c r="D351" t="s">
        <v>1443</v>
      </c>
      <c r="E351" t="s">
        <v>1444</v>
      </c>
    </row>
    <row r="352" spans="1:5" x14ac:dyDescent="0.25">
      <c r="A352" t="s">
        <v>1445</v>
      </c>
      <c r="B352">
        <v>582</v>
      </c>
      <c r="C352" s="3">
        <v>1272810</v>
      </c>
      <c r="D352" t="s">
        <v>1446</v>
      </c>
      <c r="E352" t="s">
        <v>1447</v>
      </c>
    </row>
    <row r="353" spans="1:5" x14ac:dyDescent="0.25">
      <c r="A353" t="s">
        <v>1448</v>
      </c>
      <c r="B353">
        <v>582</v>
      </c>
      <c r="C353" s="3">
        <v>1272810</v>
      </c>
      <c r="D353" t="s">
        <v>1449</v>
      </c>
      <c r="E353" t="s">
        <v>1450</v>
      </c>
    </row>
    <row r="354" spans="1:5" x14ac:dyDescent="0.25">
      <c r="A354" t="s">
        <v>174</v>
      </c>
      <c r="B354">
        <v>710</v>
      </c>
      <c r="C354" s="3">
        <v>1696800</v>
      </c>
      <c r="D354" t="s">
        <v>175</v>
      </c>
      <c r="E354" t="s">
        <v>176</v>
      </c>
    </row>
    <row r="355" spans="1:5" x14ac:dyDescent="0.25">
      <c r="A355" t="s">
        <v>186</v>
      </c>
      <c r="B355">
        <v>710</v>
      </c>
      <c r="C355" s="3">
        <v>1696800</v>
      </c>
      <c r="D355" t="s">
        <v>187</v>
      </c>
      <c r="E355" t="s">
        <v>188</v>
      </c>
    </row>
    <row r="356" spans="1:5" x14ac:dyDescent="0.25">
      <c r="A356" t="s">
        <v>195</v>
      </c>
      <c r="B356">
        <v>710</v>
      </c>
      <c r="C356" s="3">
        <v>1696800</v>
      </c>
      <c r="D356" t="s">
        <v>196</v>
      </c>
      <c r="E356" t="s">
        <v>197</v>
      </c>
    </row>
    <row r="357" spans="1:5" x14ac:dyDescent="0.25">
      <c r="A357" t="s">
        <v>198</v>
      </c>
      <c r="B357">
        <v>710</v>
      </c>
      <c r="C357" s="3">
        <v>1696800</v>
      </c>
      <c r="D357" t="s">
        <v>199</v>
      </c>
      <c r="E357" t="s">
        <v>200</v>
      </c>
    </row>
    <row r="358" spans="1:5" x14ac:dyDescent="0.25">
      <c r="A358" t="s">
        <v>204</v>
      </c>
      <c r="B358">
        <v>710</v>
      </c>
      <c r="C358" s="3">
        <v>1696800</v>
      </c>
      <c r="D358" t="s">
        <v>205</v>
      </c>
      <c r="E358" t="s">
        <v>206</v>
      </c>
    </row>
    <row r="359" spans="1:5" x14ac:dyDescent="0.25">
      <c r="A359" t="s">
        <v>210</v>
      </c>
      <c r="B359">
        <v>710</v>
      </c>
      <c r="C359" s="3">
        <v>1696800</v>
      </c>
      <c r="D359" t="s">
        <v>211</v>
      </c>
      <c r="E359" t="s">
        <v>212</v>
      </c>
    </row>
    <row r="360" spans="1:5" x14ac:dyDescent="0.25">
      <c r="A360" t="s">
        <v>240</v>
      </c>
      <c r="B360">
        <v>710</v>
      </c>
      <c r="C360" s="3">
        <v>1696800</v>
      </c>
      <c r="D360" t="s">
        <v>241</v>
      </c>
      <c r="E360" t="s">
        <v>242</v>
      </c>
    </row>
    <row r="361" spans="1:5" x14ac:dyDescent="0.25">
      <c r="A361" t="s">
        <v>255</v>
      </c>
      <c r="B361">
        <v>710</v>
      </c>
      <c r="C361" s="3">
        <v>1696800</v>
      </c>
      <c r="D361" t="s">
        <v>256</v>
      </c>
      <c r="E361" t="s">
        <v>257</v>
      </c>
    </row>
    <row r="362" spans="1:5" x14ac:dyDescent="0.25">
      <c r="A362" t="s">
        <v>264</v>
      </c>
      <c r="B362">
        <v>710</v>
      </c>
      <c r="C362" s="3">
        <v>1696800</v>
      </c>
      <c r="D362" t="s">
        <v>265</v>
      </c>
      <c r="E362" t="s">
        <v>266</v>
      </c>
    </row>
    <row r="363" spans="1:5" x14ac:dyDescent="0.25">
      <c r="A363" t="s">
        <v>267</v>
      </c>
      <c r="B363">
        <v>710</v>
      </c>
      <c r="C363" s="3">
        <v>1696800</v>
      </c>
      <c r="D363" t="s">
        <v>268</v>
      </c>
      <c r="E363" t="s">
        <v>269</v>
      </c>
    </row>
    <row r="364" spans="1:5" x14ac:dyDescent="0.25">
      <c r="A364" t="s">
        <v>270</v>
      </c>
      <c r="B364">
        <v>710</v>
      </c>
      <c r="C364" s="3">
        <v>1696800</v>
      </c>
      <c r="D364" t="s">
        <v>271</v>
      </c>
      <c r="E364" t="s">
        <v>272</v>
      </c>
    </row>
    <row r="365" spans="1:5" x14ac:dyDescent="0.25">
      <c r="A365" t="s">
        <v>276</v>
      </c>
      <c r="B365">
        <v>710</v>
      </c>
      <c r="C365" s="3">
        <v>1696800</v>
      </c>
      <c r="D365" t="s">
        <v>277</v>
      </c>
      <c r="E365" t="s">
        <v>278</v>
      </c>
    </row>
    <row r="366" spans="1:5" x14ac:dyDescent="0.25">
      <c r="A366" t="s">
        <v>291</v>
      </c>
      <c r="B366">
        <v>710</v>
      </c>
      <c r="C366" s="3">
        <v>1696800</v>
      </c>
      <c r="D366" t="s">
        <v>292</v>
      </c>
      <c r="E366" t="s">
        <v>293</v>
      </c>
    </row>
    <row r="367" spans="1:5" x14ac:dyDescent="0.25">
      <c r="A367" t="s">
        <v>294</v>
      </c>
      <c r="B367">
        <v>710</v>
      </c>
      <c r="C367" s="3">
        <v>1696800</v>
      </c>
      <c r="D367" t="s">
        <v>295</v>
      </c>
      <c r="E367" t="s">
        <v>296</v>
      </c>
    </row>
    <row r="368" spans="1:5" x14ac:dyDescent="0.25">
      <c r="A368" t="s">
        <v>306</v>
      </c>
      <c r="B368">
        <v>710</v>
      </c>
      <c r="C368" s="3">
        <v>1696800</v>
      </c>
      <c r="D368" t="s">
        <v>307</v>
      </c>
      <c r="E368" t="s">
        <v>308</v>
      </c>
    </row>
    <row r="369" spans="1:5" x14ac:dyDescent="0.25">
      <c r="A369" t="s">
        <v>309</v>
      </c>
      <c r="B369">
        <v>710</v>
      </c>
      <c r="C369" s="3">
        <v>1696800</v>
      </c>
      <c r="D369" t="s">
        <v>310</v>
      </c>
      <c r="E369" t="s">
        <v>311</v>
      </c>
    </row>
    <row r="370" spans="1:5" x14ac:dyDescent="0.25">
      <c r="A370" t="s">
        <v>315</v>
      </c>
      <c r="B370">
        <v>710</v>
      </c>
      <c r="C370" s="3">
        <v>1696800</v>
      </c>
      <c r="D370" t="s">
        <v>316</v>
      </c>
      <c r="E370" t="s">
        <v>317</v>
      </c>
    </row>
    <row r="371" spans="1:5" x14ac:dyDescent="0.25">
      <c r="A371" t="s">
        <v>321</v>
      </c>
      <c r="B371">
        <v>710</v>
      </c>
      <c r="C371" s="3">
        <v>1696800</v>
      </c>
      <c r="D371" t="s">
        <v>322</v>
      </c>
      <c r="E371" t="s">
        <v>323</v>
      </c>
    </row>
    <row r="372" spans="1:5" x14ac:dyDescent="0.25">
      <c r="A372" t="s">
        <v>324</v>
      </c>
      <c r="B372">
        <v>710</v>
      </c>
      <c r="C372" s="3">
        <v>1696800</v>
      </c>
      <c r="D372" t="s">
        <v>325</v>
      </c>
      <c r="E372" t="s">
        <v>326</v>
      </c>
    </row>
    <row r="373" spans="1:5" x14ac:dyDescent="0.25">
      <c r="A373" t="s">
        <v>342</v>
      </c>
      <c r="B373">
        <v>710</v>
      </c>
      <c r="C373" s="3">
        <v>1696800</v>
      </c>
      <c r="D373" t="s">
        <v>343</v>
      </c>
      <c r="E373" t="s">
        <v>344</v>
      </c>
    </row>
    <row r="374" spans="1:5" x14ac:dyDescent="0.25">
      <c r="A374" t="s">
        <v>372</v>
      </c>
      <c r="B374">
        <v>710</v>
      </c>
      <c r="C374" s="3">
        <v>1696800</v>
      </c>
      <c r="D374" t="s">
        <v>373</v>
      </c>
      <c r="E374" t="s">
        <v>374</v>
      </c>
    </row>
    <row r="375" spans="1:5" x14ac:dyDescent="0.25">
      <c r="A375" t="s">
        <v>381</v>
      </c>
      <c r="B375">
        <v>710</v>
      </c>
      <c r="C375" s="3">
        <v>1696800</v>
      </c>
      <c r="D375" t="s">
        <v>382</v>
      </c>
      <c r="E375" t="s">
        <v>383</v>
      </c>
    </row>
    <row r="376" spans="1:5" x14ac:dyDescent="0.25">
      <c r="A376" t="s">
        <v>405</v>
      </c>
      <c r="B376">
        <v>710</v>
      </c>
      <c r="C376" s="3">
        <v>1696800</v>
      </c>
      <c r="D376" t="s">
        <v>406</v>
      </c>
      <c r="E376" t="s">
        <v>407</v>
      </c>
    </row>
    <row r="377" spans="1:5" x14ac:dyDescent="0.25">
      <c r="A377" t="s">
        <v>426</v>
      </c>
      <c r="B377">
        <v>710</v>
      </c>
      <c r="C377" s="3">
        <v>1696800</v>
      </c>
      <c r="D377" t="s">
        <v>427</v>
      </c>
      <c r="E377" t="s">
        <v>428</v>
      </c>
    </row>
    <row r="378" spans="1:5" x14ac:dyDescent="0.25">
      <c r="A378" t="s">
        <v>441</v>
      </c>
      <c r="B378">
        <v>710</v>
      </c>
      <c r="C378" s="3">
        <v>1696800</v>
      </c>
      <c r="D378" t="s">
        <v>442</v>
      </c>
      <c r="E378" t="s">
        <v>443</v>
      </c>
    </row>
    <row r="379" spans="1:5" x14ac:dyDescent="0.25">
      <c r="A379" t="s">
        <v>449</v>
      </c>
      <c r="B379">
        <v>710</v>
      </c>
      <c r="C379" s="3">
        <v>1696800</v>
      </c>
      <c r="D379" t="s">
        <v>450</v>
      </c>
      <c r="E379" t="s">
        <v>451</v>
      </c>
    </row>
    <row r="380" spans="1:5" x14ac:dyDescent="0.25">
      <c r="A380" t="s">
        <v>452</v>
      </c>
      <c r="B380">
        <v>710</v>
      </c>
      <c r="C380" s="3">
        <v>1696800</v>
      </c>
      <c r="D380" t="s">
        <v>453</v>
      </c>
      <c r="E380" t="s">
        <v>454</v>
      </c>
    </row>
    <row r="381" spans="1:5" x14ac:dyDescent="0.25">
      <c r="A381" t="s">
        <v>458</v>
      </c>
      <c r="B381">
        <v>710</v>
      </c>
      <c r="C381" s="3">
        <v>1696800</v>
      </c>
      <c r="D381" t="s">
        <v>459</v>
      </c>
      <c r="E381" t="s">
        <v>460</v>
      </c>
    </row>
    <row r="382" spans="1:5" x14ac:dyDescent="0.25">
      <c r="A382" t="s">
        <v>461</v>
      </c>
      <c r="B382">
        <v>710</v>
      </c>
      <c r="C382" s="3">
        <v>1696800</v>
      </c>
      <c r="D382" t="s">
        <v>462</v>
      </c>
      <c r="E382" t="s">
        <v>463</v>
      </c>
    </row>
    <row r="383" spans="1:5" x14ac:dyDescent="0.25">
      <c r="A383" t="s">
        <v>464</v>
      </c>
      <c r="B383">
        <v>710</v>
      </c>
      <c r="C383" s="3">
        <v>1696800</v>
      </c>
      <c r="D383" t="s">
        <v>465</v>
      </c>
      <c r="E383" t="s">
        <v>466</v>
      </c>
    </row>
    <row r="384" spans="1:5" x14ac:dyDescent="0.25">
      <c r="A384" t="s">
        <v>467</v>
      </c>
      <c r="B384">
        <v>710</v>
      </c>
      <c r="C384" s="3">
        <v>1696800</v>
      </c>
      <c r="D384" t="s">
        <v>468</v>
      </c>
      <c r="E384" t="s">
        <v>469</v>
      </c>
    </row>
    <row r="385" spans="1:5" x14ac:dyDescent="0.25">
      <c r="A385" t="s">
        <v>476</v>
      </c>
      <c r="B385">
        <v>710</v>
      </c>
      <c r="C385" s="3">
        <v>1696800</v>
      </c>
      <c r="D385" t="s">
        <v>477</v>
      </c>
      <c r="E385" t="s">
        <v>478</v>
      </c>
    </row>
    <row r="386" spans="1:5" x14ac:dyDescent="0.25">
      <c r="A386" t="s">
        <v>488</v>
      </c>
      <c r="B386">
        <v>710</v>
      </c>
      <c r="C386" s="3">
        <v>1696800</v>
      </c>
      <c r="D386" t="s">
        <v>489</v>
      </c>
      <c r="E386" t="s">
        <v>490</v>
      </c>
    </row>
    <row r="387" spans="1:5" x14ac:dyDescent="0.25">
      <c r="A387" t="s">
        <v>494</v>
      </c>
      <c r="B387">
        <v>710</v>
      </c>
      <c r="C387" s="3">
        <v>1696800</v>
      </c>
      <c r="D387" t="s">
        <v>495</v>
      </c>
      <c r="E387" t="s">
        <v>496</v>
      </c>
    </row>
    <row r="388" spans="1:5" x14ac:dyDescent="0.25">
      <c r="A388" t="s">
        <v>506</v>
      </c>
      <c r="B388">
        <v>710</v>
      </c>
      <c r="C388" s="3">
        <v>1696800</v>
      </c>
      <c r="D388" t="s">
        <v>507</v>
      </c>
      <c r="E388" t="s">
        <v>508</v>
      </c>
    </row>
    <row r="389" spans="1:5" x14ac:dyDescent="0.25">
      <c r="A389" t="s">
        <v>509</v>
      </c>
      <c r="B389">
        <v>710</v>
      </c>
      <c r="C389" s="3">
        <v>1696800</v>
      </c>
      <c r="D389" t="s">
        <v>510</v>
      </c>
      <c r="E389" t="s">
        <v>511</v>
      </c>
    </row>
    <row r="390" spans="1:5" x14ac:dyDescent="0.25">
      <c r="A390" t="s">
        <v>512</v>
      </c>
      <c r="B390">
        <v>710</v>
      </c>
      <c r="C390" s="3">
        <v>1696800</v>
      </c>
      <c r="D390" t="s">
        <v>513</v>
      </c>
      <c r="E390" t="s">
        <v>514</v>
      </c>
    </row>
    <row r="391" spans="1:5" x14ac:dyDescent="0.25">
      <c r="A391" t="s">
        <v>527</v>
      </c>
      <c r="B391">
        <v>710</v>
      </c>
      <c r="C391" s="3">
        <v>1696800</v>
      </c>
      <c r="D391" t="s">
        <v>528</v>
      </c>
      <c r="E391" t="s">
        <v>529</v>
      </c>
    </row>
    <row r="392" spans="1:5" x14ac:dyDescent="0.25">
      <c r="A392" t="s">
        <v>533</v>
      </c>
      <c r="B392">
        <v>710</v>
      </c>
      <c r="C392" s="3">
        <v>1696800</v>
      </c>
      <c r="D392" t="s">
        <v>534</v>
      </c>
      <c r="E392" t="s">
        <v>535</v>
      </c>
    </row>
    <row r="393" spans="1:5" x14ac:dyDescent="0.25">
      <c r="A393" t="s">
        <v>554</v>
      </c>
      <c r="B393">
        <v>710</v>
      </c>
      <c r="C393" s="3">
        <v>1696800</v>
      </c>
      <c r="D393" t="s">
        <v>555</v>
      </c>
      <c r="E393" t="s">
        <v>556</v>
      </c>
    </row>
    <row r="394" spans="1:5" x14ac:dyDescent="0.25">
      <c r="A394" t="s">
        <v>557</v>
      </c>
      <c r="B394">
        <v>710</v>
      </c>
      <c r="C394" s="3">
        <v>1696800</v>
      </c>
      <c r="D394" t="s">
        <v>558</v>
      </c>
      <c r="E394" t="s">
        <v>559</v>
      </c>
    </row>
    <row r="395" spans="1:5" x14ac:dyDescent="0.25">
      <c r="A395" t="s">
        <v>563</v>
      </c>
      <c r="B395">
        <v>710</v>
      </c>
      <c r="C395" s="3">
        <v>1696800</v>
      </c>
      <c r="D395" t="s">
        <v>564</v>
      </c>
      <c r="E395" t="s">
        <v>565</v>
      </c>
    </row>
    <row r="396" spans="1:5" x14ac:dyDescent="0.25">
      <c r="A396" t="s">
        <v>578</v>
      </c>
      <c r="B396">
        <v>710</v>
      </c>
      <c r="C396" s="3">
        <v>1696800</v>
      </c>
      <c r="D396" t="s">
        <v>579</v>
      </c>
      <c r="E396" t="s">
        <v>580</v>
      </c>
    </row>
    <row r="397" spans="1:5" x14ac:dyDescent="0.25">
      <c r="A397" t="s">
        <v>590</v>
      </c>
      <c r="B397">
        <v>710</v>
      </c>
      <c r="C397" s="3">
        <v>1696800</v>
      </c>
      <c r="D397" t="s">
        <v>591</v>
      </c>
      <c r="E397" t="s">
        <v>592</v>
      </c>
    </row>
    <row r="398" spans="1:5" x14ac:dyDescent="0.25">
      <c r="A398" t="s">
        <v>608</v>
      </c>
      <c r="B398">
        <v>710</v>
      </c>
      <c r="C398" s="3">
        <v>1696800</v>
      </c>
      <c r="D398" t="s">
        <v>609</v>
      </c>
      <c r="E398" t="s">
        <v>610</v>
      </c>
    </row>
    <row r="399" spans="1:5" x14ac:dyDescent="0.25">
      <c r="A399" t="s">
        <v>674</v>
      </c>
      <c r="B399">
        <v>710</v>
      </c>
      <c r="C399" s="3">
        <v>1696800</v>
      </c>
      <c r="D399" t="s">
        <v>675</v>
      </c>
      <c r="E399" t="s">
        <v>676</v>
      </c>
    </row>
    <row r="400" spans="1:5" x14ac:dyDescent="0.25">
      <c r="A400" t="s">
        <v>687</v>
      </c>
      <c r="B400">
        <v>710</v>
      </c>
      <c r="C400" s="3">
        <v>1696800</v>
      </c>
      <c r="D400" t="s">
        <v>688</v>
      </c>
      <c r="E400" t="s">
        <v>689</v>
      </c>
    </row>
    <row r="401" spans="1:5" x14ac:dyDescent="0.25">
      <c r="A401" t="s">
        <v>696</v>
      </c>
      <c r="B401">
        <v>710</v>
      </c>
      <c r="C401" s="3">
        <v>1696800</v>
      </c>
      <c r="D401" t="s">
        <v>697</v>
      </c>
      <c r="E401" t="s">
        <v>698</v>
      </c>
    </row>
    <row r="402" spans="1:5" x14ac:dyDescent="0.25">
      <c r="A402" t="s">
        <v>699</v>
      </c>
      <c r="B402">
        <v>710</v>
      </c>
      <c r="C402" s="3">
        <v>1696800</v>
      </c>
      <c r="D402" t="s">
        <v>700</v>
      </c>
      <c r="E402" t="s">
        <v>701</v>
      </c>
    </row>
    <row r="403" spans="1:5" x14ac:dyDescent="0.25">
      <c r="A403" t="s">
        <v>732</v>
      </c>
      <c r="B403">
        <v>710</v>
      </c>
      <c r="C403" s="3">
        <v>1696800</v>
      </c>
      <c r="D403" t="s">
        <v>733</v>
      </c>
      <c r="E403" t="s">
        <v>734</v>
      </c>
    </row>
    <row r="404" spans="1:5" x14ac:dyDescent="0.25">
      <c r="A404" t="s">
        <v>741</v>
      </c>
      <c r="B404">
        <v>710</v>
      </c>
      <c r="C404" s="3">
        <v>1696800</v>
      </c>
      <c r="D404" t="s">
        <v>742</v>
      </c>
      <c r="E404" t="s">
        <v>743</v>
      </c>
    </row>
    <row r="405" spans="1:5" x14ac:dyDescent="0.25">
      <c r="A405" t="s">
        <v>750</v>
      </c>
      <c r="B405">
        <v>710</v>
      </c>
      <c r="C405" s="3">
        <v>1696800</v>
      </c>
      <c r="D405" t="s">
        <v>751</v>
      </c>
      <c r="E405" t="s">
        <v>752</v>
      </c>
    </row>
    <row r="406" spans="1:5" x14ac:dyDescent="0.25">
      <c r="A406" t="s">
        <v>759</v>
      </c>
      <c r="B406">
        <v>710</v>
      </c>
      <c r="C406" s="3">
        <v>1696800</v>
      </c>
      <c r="D406" t="s">
        <v>760</v>
      </c>
      <c r="E406" t="s">
        <v>761</v>
      </c>
    </row>
    <row r="407" spans="1:5" x14ac:dyDescent="0.25">
      <c r="A407" t="s">
        <v>762</v>
      </c>
      <c r="B407">
        <v>710</v>
      </c>
      <c r="C407" s="3">
        <v>1696800</v>
      </c>
      <c r="D407" t="s">
        <v>763</v>
      </c>
      <c r="E407" t="s">
        <v>764</v>
      </c>
    </row>
    <row r="408" spans="1:5" x14ac:dyDescent="0.25">
      <c r="A408" t="s">
        <v>780</v>
      </c>
      <c r="B408">
        <v>710</v>
      </c>
      <c r="C408" s="3">
        <v>1696800</v>
      </c>
      <c r="D408" t="s">
        <v>781</v>
      </c>
      <c r="E408" t="s">
        <v>782</v>
      </c>
    </row>
    <row r="409" spans="1:5" x14ac:dyDescent="0.25">
      <c r="A409" t="s">
        <v>804</v>
      </c>
      <c r="B409">
        <v>710</v>
      </c>
      <c r="C409" s="3">
        <v>1696800</v>
      </c>
      <c r="D409" t="s">
        <v>805</v>
      </c>
      <c r="E409" t="s">
        <v>806</v>
      </c>
    </row>
    <row r="410" spans="1:5" x14ac:dyDescent="0.25">
      <c r="A410" t="s">
        <v>816</v>
      </c>
      <c r="B410">
        <v>710</v>
      </c>
      <c r="C410" s="3">
        <v>1696800</v>
      </c>
      <c r="D410" t="s">
        <v>817</v>
      </c>
      <c r="E410" t="s">
        <v>818</v>
      </c>
    </row>
    <row r="411" spans="1:5" x14ac:dyDescent="0.25">
      <c r="A411" t="s">
        <v>831</v>
      </c>
      <c r="B411">
        <v>710</v>
      </c>
      <c r="C411" s="3">
        <v>1696800</v>
      </c>
    </row>
    <row r="412" spans="1:5" x14ac:dyDescent="0.25">
      <c r="A412" t="s">
        <v>832</v>
      </c>
      <c r="B412">
        <v>710</v>
      </c>
      <c r="C412" s="3">
        <v>1696800</v>
      </c>
      <c r="D412" t="s">
        <v>833</v>
      </c>
      <c r="E412" t="s">
        <v>834</v>
      </c>
    </row>
    <row r="413" spans="1:5" x14ac:dyDescent="0.25">
      <c r="A413" t="s">
        <v>835</v>
      </c>
      <c r="B413">
        <v>710</v>
      </c>
      <c r="C413" s="3">
        <v>1696800</v>
      </c>
      <c r="D413" t="s">
        <v>836</v>
      </c>
      <c r="E413" t="s">
        <v>837</v>
      </c>
    </row>
    <row r="414" spans="1:5" x14ac:dyDescent="0.25">
      <c r="A414" t="s">
        <v>865</v>
      </c>
      <c r="B414">
        <v>710</v>
      </c>
      <c r="C414" s="3">
        <v>1696800</v>
      </c>
      <c r="D414" t="s">
        <v>866</v>
      </c>
      <c r="E414" t="s">
        <v>867</v>
      </c>
    </row>
    <row r="415" spans="1:5" x14ac:dyDescent="0.25">
      <c r="A415" t="s">
        <v>871</v>
      </c>
      <c r="B415">
        <v>710</v>
      </c>
      <c r="C415" s="3">
        <v>1696800</v>
      </c>
      <c r="D415" t="s">
        <v>872</v>
      </c>
      <c r="E415" t="s">
        <v>873</v>
      </c>
    </row>
    <row r="416" spans="1:5" x14ac:dyDescent="0.25">
      <c r="A416" t="s">
        <v>877</v>
      </c>
      <c r="B416">
        <v>710</v>
      </c>
      <c r="C416" s="3">
        <v>1696800</v>
      </c>
      <c r="D416" t="s">
        <v>878</v>
      </c>
      <c r="E416" t="s">
        <v>879</v>
      </c>
    </row>
    <row r="417" spans="1:5" x14ac:dyDescent="0.25">
      <c r="A417" t="s">
        <v>880</v>
      </c>
      <c r="B417">
        <v>710</v>
      </c>
      <c r="C417" s="3">
        <v>1696800</v>
      </c>
      <c r="D417" t="s">
        <v>881</v>
      </c>
      <c r="E417" t="s">
        <v>882</v>
      </c>
    </row>
    <row r="418" spans="1:5" x14ac:dyDescent="0.25">
      <c r="A418" t="s">
        <v>919</v>
      </c>
      <c r="B418">
        <v>710</v>
      </c>
      <c r="C418" s="3">
        <v>1696800</v>
      </c>
      <c r="D418" t="s">
        <v>920</v>
      </c>
      <c r="E418" t="s">
        <v>921</v>
      </c>
    </row>
    <row r="419" spans="1:5" x14ac:dyDescent="0.25">
      <c r="A419" t="s">
        <v>937</v>
      </c>
      <c r="B419">
        <v>710</v>
      </c>
      <c r="C419" s="3">
        <v>1696800</v>
      </c>
      <c r="D419" t="s">
        <v>938</v>
      </c>
      <c r="E419" t="s">
        <v>939</v>
      </c>
    </row>
    <row r="420" spans="1:5" x14ac:dyDescent="0.25">
      <c r="A420" t="s">
        <v>969</v>
      </c>
      <c r="B420">
        <v>710</v>
      </c>
      <c r="C420" s="3">
        <v>1696800</v>
      </c>
      <c r="D420" t="s">
        <v>970</v>
      </c>
      <c r="E420" t="s">
        <v>971</v>
      </c>
    </row>
    <row r="421" spans="1:5" x14ac:dyDescent="0.25">
      <c r="A421" t="s">
        <v>989</v>
      </c>
      <c r="B421">
        <v>710</v>
      </c>
      <c r="C421" s="3">
        <v>1696800</v>
      </c>
      <c r="D421" t="s">
        <v>990</v>
      </c>
      <c r="E421" t="s">
        <v>991</v>
      </c>
    </row>
    <row r="422" spans="1:5" x14ac:dyDescent="0.25">
      <c r="A422" t="s">
        <v>992</v>
      </c>
      <c r="B422">
        <v>710</v>
      </c>
      <c r="C422" s="3">
        <v>1696800</v>
      </c>
      <c r="D422" t="s">
        <v>993</v>
      </c>
      <c r="E422" t="s">
        <v>994</v>
      </c>
    </row>
    <row r="423" spans="1:5" x14ac:dyDescent="0.25">
      <c r="A423" t="s">
        <v>1005</v>
      </c>
      <c r="B423">
        <v>710</v>
      </c>
      <c r="C423" s="3">
        <v>1696800</v>
      </c>
      <c r="D423" t="s">
        <v>1006</v>
      </c>
      <c r="E423" t="s">
        <v>1007</v>
      </c>
    </row>
    <row r="424" spans="1:5" x14ac:dyDescent="0.25">
      <c r="A424" t="s">
        <v>1008</v>
      </c>
      <c r="B424">
        <v>710</v>
      </c>
      <c r="C424" s="3">
        <v>1696800</v>
      </c>
      <c r="D424" t="s">
        <v>1009</v>
      </c>
      <c r="E424" t="s">
        <v>1010</v>
      </c>
    </row>
    <row r="425" spans="1:5" x14ac:dyDescent="0.25">
      <c r="A425" t="s">
        <v>1011</v>
      </c>
      <c r="B425">
        <v>710</v>
      </c>
      <c r="C425" s="3">
        <v>1696800</v>
      </c>
      <c r="D425" t="s">
        <v>1012</v>
      </c>
      <c r="E425" t="s">
        <v>1013</v>
      </c>
    </row>
    <row r="426" spans="1:5" x14ac:dyDescent="0.25">
      <c r="A426" t="s">
        <v>1017</v>
      </c>
      <c r="B426">
        <v>710</v>
      </c>
      <c r="C426" s="3">
        <v>1696800</v>
      </c>
      <c r="D426" t="s">
        <v>1018</v>
      </c>
      <c r="E426" t="s">
        <v>1019</v>
      </c>
    </row>
    <row r="427" spans="1:5" x14ac:dyDescent="0.25">
      <c r="A427" t="s">
        <v>1020</v>
      </c>
      <c r="B427">
        <v>710</v>
      </c>
      <c r="C427" s="3">
        <v>1696800</v>
      </c>
      <c r="D427" t="s">
        <v>1021</v>
      </c>
      <c r="E427" t="s">
        <v>1022</v>
      </c>
    </row>
    <row r="428" spans="1:5" x14ac:dyDescent="0.25">
      <c r="A428" t="s">
        <v>1035</v>
      </c>
      <c r="B428">
        <v>710</v>
      </c>
      <c r="C428" s="3">
        <v>1696800</v>
      </c>
      <c r="D428" t="s">
        <v>1036</v>
      </c>
      <c r="E428" t="s">
        <v>1037</v>
      </c>
    </row>
    <row r="429" spans="1:5" x14ac:dyDescent="0.25">
      <c r="A429" t="s">
        <v>1056</v>
      </c>
      <c r="B429">
        <v>710</v>
      </c>
      <c r="C429" s="3">
        <v>1696800</v>
      </c>
      <c r="D429" t="s">
        <v>1057</v>
      </c>
      <c r="E429" t="s">
        <v>1058</v>
      </c>
    </row>
    <row r="430" spans="1:5" x14ac:dyDescent="0.25">
      <c r="A430" t="s">
        <v>1059</v>
      </c>
      <c r="B430">
        <v>710</v>
      </c>
      <c r="C430" s="3">
        <v>1696800</v>
      </c>
      <c r="D430" t="s">
        <v>1060</v>
      </c>
      <c r="E430" t="s">
        <v>1061</v>
      </c>
    </row>
    <row r="431" spans="1:5" x14ac:dyDescent="0.25">
      <c r="A431" t="s">
        <v>1062</v>
      </c>
      <c r="B431">
        <v>710</v>
      </c>
      <c r="C431" s="3">
        <v>1696800</v>
      </c>
      <c r="D431" t="s">
        <v>857</v>
      </c>
      <c r="E431" t="s">
        <v>858</v>
      </c>
    </row>
    <row r="432" spans="1:5" x14ac:dyDescent="0.25">
      <c r="A432" t="s">
        <v>1069</v>
      </c>
      <c r="B432">
        <v>710</v>
      </c>
      <c r="C432" s="3">
        <v>1696800</v>
      </c>
      <c r="D432" t="s">
        <v>1070</v>
      </c>
      <c r="E432" t="s">
        <v>1071</v>
      </c>
    </row>
    <row r="433" spans="1:5" x14ac:dyDescent="0.25">
      <c r="A433" t="s">
        <v>1072</v>
      </c>
      <c r="B433">
        <v>710</v>
      </c>
      <c r="C433" s="3">
        <v>1696800</v>
      </c>
      <c r="D433" t="s">
        <v>1073</v>
      </c>
      <c r="E433" t="s">
        <v>1074</v>
      </c>
    </row>
    <row r="434" spans="1:5" x14ac:dyDescent="0.25">
      <c r="A434" t="s">
        <v>1075</v>
      </c>
      <c r="B434">
        <v>710</v>
      </c>
      <c r="C434" s="3">
        <v>1696800</v>
      </c>
      <c r="D434" t="s">
        <v>1076</v>
      </c>
      <c r="E434" t="s">
        <v>1077</v>
      </c>
    </row>
    <row r="435" spans="1:5" x14ac:dyDescent="0.25">
      <c r="A435" t="s">
        <v>1093</v>
      </c>
      <c r="B435">
        <v>710</v>
      </c>
      <c r="C435" s="3">
        <v>1696800</v>
      </c>
      <c r="D435" t="s">
        <v>1094</v>
      </c>
      <c r="E435" t="s">
        <v>1095</v>
      </c>
    </row>
    <row r="436" spans="1:5" x14ac:dyDescent="0.25">
      <c r="A436" t="s">
        <v>1099</v>
      </c>
      <c r="B436">
        <v>710</v>
      </c>
      <c r="C436" s="3">
        <v>1696800</v>
      </c>
      <c r="D436" t="s">
        <v>1100</v>
      </c>
      <c r="E436" t="s">
        <v>1101</v>
      </c>
    </row>
    <row r="437" spans="1:5" x14ac:dyDescent="0.25">
      <c r="A437" t="s">
        <v>1127</v>
      </c>
      <c r="B437">
        <v>710</v>
      </c>
      <c r="C437" s="3">
        <v>1696800</v>
      </c>
      <c r="D437" t="s">
        <v>1128</v>
      </c>
      <c r="E437" t="s">
        <v>1129</v>
      </c>
    </row>
    <row r="438" spans="1:5" x14ac:dyDescent="0.25">
      <c r="A438" t="s">
        <v>1157</v>
      </c>
      <c r="B438">
        <v>710</v>
      </c>
      <c r="C438" s="3">
        <v>1696800</v>
      </c>
      <c r="D438" t="s">
        <v>1158</v>
      </c>
      <c r="E438" t="s">
        <v>1159</v>
      </c>
    </row>
    <row r="439" spans="1:5" x14ac:dyDescent="0.25">
      <c r="A439" t="s">
        <v>1178</v>
      </c>
      <c r="B439">
        <v>710</v>
      </c>
      <c r="C439" s="3">
        <v>1696800</v>
      </c>
      <c r="D439" t="s">
        <v>1179</v>
      </c>
      <c r="E439" t="s">
        <v>1180</v>
      </c>
    </row>
    <row r="440" spans="1:5" x14ac:dyDescent="0.25">
      <c r="A440" t="s">
        <v>1190</v>
      </c>
      <c r="B440">
        <v>710</v>
      </c>
      <c r="C440" s="3">
        <v>1696800</v>
      </c>
      <c r="D440" t="s">
        <v>1191</v>
      </c>
      <c r="E440" t="s">
        <v>1192</v>
      </c>
    </row>
    <row r="441" spans="1:5" x14ac:dyDescent="0.25">
      <c r="A441" t="s">
        <v>1199</v>
      </c>
      <c r="B441">
        <v>710</v>
      </c>
      <c r="C441" s="3">
        <v>1696800</v>
      </c>
      <c r="D441" t="s">
        <v>1200</v>
      </c>
      <c r="E441" t="s">
        <v>1201</v>
      </c>
    </row>
    <row r="442" spans="1:5" x14ac:dyDescent="0.25">
      <c r="A442" t="s">
        <v>1202</v>
      </c>
      <c r="B442">
        <v>710</v>
      </c>
      <c r="C442" s="3">
        <v>1696800</v>
      </c>
      <c r="D442" t="s">
        <v>1203</v>
      </c>
      <c r="E442" t="s">
        <v>1204</v>
      </c>
    </row>
    <row r="443" spans="1:5" x14ac:dyDescent="0.25">
      <c r="A443" t="s">
        <v>1284</v>
      </c>
      <c r="B443">
        <v>710</v>
      </c>
      <c r="C443" s="3">
        <v>1696800</v>
      </c>
      <c r="D443" t="s">
        <v>280</v>
      </c>
      <c r="E443" t="s">
        <v>281</v>
      </c>
    </row>
    <row r="444" spans="1:5" x14ac:dyDescent="0.25">
      <c r="A444" t="s">
        <v>1285</v>
      </c>
      <c r="B444">
        <v>710</v>
      </c>
      <c r="C444" s="3">
        <v>1696800</v>
      </c>
      <c r="D444" t="s">
        <v>301</v>
      </c>
      <c r="E444" t="s">
        <v>302</v>
      </c>
    </row>
    <row r="445" spans="1:5" x14ac:dyDescent="0.25">
      <c r="A445" t="s">
        <v>1286</v>
      </c>
      <c r="B445">
        <v>710</v>
      </c>
      <c r="C445" s="3">
        <v>1696800</v>
      </c>
      <c r="D445" t="s">
        <v>340</v>
      </c>
      <c r="E445" t="s">
        <v>341</v>
      </c>
    </row>
    <row r="446" spans="1:5" x14ac:dyDescent="0.25">
      <c r="A446" t="s">
        <v>1287</v>
      </c>
      <c r="B446">
        <v>710</v>
      </c>
      <c r="C446" s="3">
        <v>1696800</v>
      </c>
      <c r="D446" t="s">
        <v>814</v>
      </c>
      <c r="E446" t="s">
        <v>815</v>
      </c>
    </row>
    <row r="447" spans="1:5" x14ac:dyDescent="0.25">
      <c r="A447" t="s">
        <v>1288</v>
      </c>
      <c r="B447">
        <v>710</v>
      </c>
      <c r="C447" s="3">
        <v>1696800</v>
      </c>
      <c r="D447" t="s">
        <v>313</v>
      </c>
      <c r="E447" t="s">
        <v>314</v>
      </c>
    </row>
    <row r="448" spans="1:5" x14ac:dyDescent="0.25">
      <c r="A448" t="s">
        <v>1307</v>
      </c>
      <c r="B448">
        <v>710</v>
      </c>
      <c r="C448" s="3">
        <v>1696800</v>
      </c>
      <c r="D448" t="s">
        <v>403</v>
      </c>
      <c r="E448" t="s">
        <v>404</v>
      </c>
    </row>
    <row r="449" spans="1:5" x14ac:dyDescent="0.25">
      <c r="A449" t="s">
        <v>1308</v>
      </c>
      <c r="B449">
        <v>710</v>
      </c>
      <c r="C449" s="3">
        <v>1696800</v>
      </c>
      <c r="D449" t="s">
        <v>400</v>
      </c>
      <c r="E449" t="s">
        <v>401</v>
      </c>
    </row>
    <row r="450" spans="1:5" x14ac:dyDescent="0.25">
      <c r="A450" t="s">
        <v>1314</v>
      </c>
      <c r="B450">
        <v>710</v>
      </c>
      <c r="C450" s="3">
        <v>1696800</v>
      </c>
      <c r="D450" t="s">
        <v>367</v>
      </c>
      <c r="E450" t="s">
        <v>368</v>
      </c>
    </row>
    <row r="451" spans="1:5" x14ac:dyDescent="0.25">
      <c r="A451" t="s">
        <v>1339</v>
      </c>
      <c r="B451">
        <v>710</v>
      </c>
      <c r="C451" s="3">
        <v>1696800</v>
      </c>
      <c r="D451" t="s">
        <v>766</v>
      </c>
      <c r="E451" t="s">
        <v>767</v>
      </c>
    </row>
    <row r="452" spans="1:5" x14ac:dyDescent="0.25">
      <c r="A452" t="s">
        <v>1343</v>
      </c>
      <c r="B452">
        <v>710</v>
      </c>
      <c r="C452" s="3">
        <v>1696800</v>
      </c>
      <c r="D452" t="s">
        <v>1344</v>
      </c>
      <c r="E452" t="s">
        <v>1345</v>
      </c>
    </row>
    <row r="453" spans="1:5" x14ac:dyDescent="0.25">
      <c r="A453" t="s">
        <v>1346</v>
      </c>
      <c r="B453">
        <v>710</v>
      </c>
      <c r="C453" s="3">
        <v>1696800</v>
      </c>
      <c r="D453" t="s">
        <v>289</v>
      </c>
      <c r="E453" t="s">
        <v>290</v>
      </c>
    </row>
    <row r="454" spans="1:5" x14ac:dyDescent="0.25">
      <c r="A454" t="s">
        <v>1347</v>
      </c>
      <c r="B454">
        <v>710</v>
      </c>
      <c r="C454" s="3">
        <v>1696800</v>
      </c>
      <c r="D454" t="s">
        <v>1039</v>
      </c>
      <c r="E454" t="s">
        <v>1040</v>
      </c>
    </row>
    <row r="455" spans="1:5" x14ac:dyDescent="0.25">
      <c r="A455" t="s">
        <v>1366</v>
      </c>
      <c r="B455">
        <v>710</v>
      </c>
      <c r="C455" s="3">
        <v>1696800</v>
      </c>
      <c r="D455" t="s">
        <v>1367</v>
      </c>
      <c r="E455" t="s">
        <v>1368</v>
      </c>
    </row>
    <row r="456" spans="1:5" x14ac:dyDescent="0.25">
      <c r="A456" t="s">
        <v>1451</v>
      </c>
      <c r="B456">
        <v>710</v>
      </c>
      <c r="C456" s="3">
        <v>1696800</v>
      </c>
      <c r="D456" t="s">
        <v>839</v>
      </c>
      <c r="E456" t="s">
        <v>840</v>
      </c>
    </row>
    <row r="457" spans="1:5" x14ac:dyDescent="0.25">
      <c r="A457" t="s">
        <v>1470</v>
      </c>
      <c r="B457">
        <v>710</v>
      </c>
      <c r="C457" s="3">
        <v>1696800</v>
      </c>
      <c r="D457" t="s">
        <v>504</v>
      </c>
      <c r="E457" t="s">
        <v>505</v>
      </c>
    </row>
    <row r="458" spans="1:5" x14ac:dyDescent="0.25">
      <c r="A458" t="s">
        <v>180</v>
      </c>
      <c r="B458">
        <v>740</v>
      </c>
      <c r="C458" s="3">
        <v>1789900</v>
      </c>
      <c r="D458" t="s">
        <v>181</v>
      </c>
      <c r="E458" t="s">
        <v>182</v>
      </c>
    </row>
    <row r="459" spans="1:5" x14ac:dyDescent="0.25">
      <c r="A459" t="s">
        <v>641</v>
      </c>
      <c r="B459">
        <v>740</v>
      </c>
      <c r="C459" s="3">
        <v>1789900</v>
      </c>
      <c r="D459" t="s">
        <v>642</v>
      </c>
      <c r="E459" t="s">
        <v>643</v>
      </c>
    </row>
    <row r="460" spans="1:5" x14ac:dyDescent="0.25">
      <c r="A460" t="s">
        <v>978</v>
      </c>
      <c r="B460">
        <v>740</v>
      </c>
      <c r="C460" s="3">
        <v>1789900</v>
      </c>
      <c r="D460" t="s">
        <v>979</v>
      </c>
      <c r="E460" t="s">
        <v>980</v>
      </c>
    </row>
    <row r="461" spans="1:5" x14ac:dyDescent="0.25">
      <c r="A461" t="s">
        <v>1260</v>
      </c>
      <c r="B461">
        <v>740</v>
      </c>
      <c r="C461" s="3">
        <v>1789900</v>
      </c>
      <c r="D461" t="s">
        <v>1261</v>
      </c>
      <c r="E461" t="s">
        <v>1262</v>
      </c>
    </row>
    <row r="462" spans="1:5" x14ac:dyDescent="0.25">
      <c r="A462" t="s">
        <v>213</v>
      </c>
      <c r="B462">
        <v>1017</v>
      </c>
      <c r="C462" s="3">
        <v>2529300</v>
      </c>
      <c r="D462" t="s">
        <v>214</v>
      </c>
      <c r="E462" t="s">
        <v>215</v>
      </c>
    </row>
    <row r="463" spans="1:5" x14ac:dyDescent="0.25">
      <c r="A463" t="s">
        <v>231</v>
      </c>
      <c r="B463">
        <v>1017</v>
      </c>
      <c r="C463" s="3">
        <v>2529300</v>
      </c>
      <c r="D463" t="s">
        <v>232</v>
      </c>
      <c r="E463" t="s">
        <v>233</v>
      </c>
    </row>
    <row r="464" spans="1:5" x14ac:dyDescent="0.25">
      <c r="A464" t="s">
        <v>243</v>
      </c>
      <c r="B464">
        <v>1017</v>
      </c>
      <c r="C464" s="3">
        <v>2529300</v>
      </c>
      <c r="D464" t="s">
        <v>244</v>
      </c>
      <c r="E464" t="s">
        <v>245</v>
      </c>
    </row>
    <row r="465" spans="1:5" x14ac:dyDescent="0.25">
      <c r="A465" t="s">
        <v>249</v>
      </c>
      <c r="B465">
        <v>1017</v>
      </c>
      <c r="C465" s="3">
        <v>2529300</v>
      </c>
      <c r="D465" t="s">
        <v>250</v>
      </c>
      <c r="E465" t="s">
        <v>251</v>
      </c>
    </row>
    <row r="466" spans="1:5" x14ac:dyDescent="0.25">
      <c r="A466" t="s">
        <v>545</v>
      </c>
      <c r="B466">
        <v>1017</v>
      </c>
      <c r="C466" s="3">
        <v>2529300</v>
      </c>
      <c r="D466" t="s">
        <v>546</v>
      </c>
      <c r="E466" t="s">
        <v>547</v>
      </c>
    </row>
    <row r="467" spans="1:5" x14ac:dyDescent="0.25">
      <c r="A467" t="s">
        <v>584</v>
      </c>
      <c r="B467">
        <v>1017</v>
      </c>
      <c r="C467" s="3">
        <v>2529300</v>
      </c>
      <c r="D467" t="s">
        <v>585</v>
      </c>
      <c r="E467" t="s">
        <v>586</v>
      </c>
    </row>
    <row r="468" spans="1:5" x14ac:dyDescent="0.25">
      <c r="A468" t="s">
        <v>686</v>
      </c>
      <c r="B468">
        <v>1017</v>
      </c>
      <c r="C468" s="3">
        <v>2529300</v>
      </c>
    </row>
    <row r="469" spans="1:5" x14ac:dyDescent="0.25">
      <c r="A469" t="s">
        <v>753</v>
      </c>
      <c r="B469">
        <v>1017</v>
      </c>
      <c r="C469" s="3">
        <v>2529300</v>
      </c>
      <c r="D469" t="s">
        <v>754</v>
      </c>
      <c r="E469" t="s">
        <v>755</v>
      </c>
    </row>
    <row r="470" spans="1:5" x14ac:dyDescent="0.25">
      <c r="A470" t="s">
        <v>789</v>
      </c>
      <c r="B470">
        <v>1017</v>
      </c>
      <c r="C470" s="3">
        <v>2529300</v>
      </c>
      <c r="D470" t="s">
        <v>790</v>
      </c>
      <c r="E470" t="s">
        <v>791</v>
      </c>
    </row>
    <row r="471" spans="1:5" x14ac:dyDescent="0.25">
      <c r="A471" t="s">
        <v>828</v>
      </c>
      <c r="B471">
        <v>1017</v>
      </c>
      <c r="C471" s="3">
        <v>2529300</v>
      </c>
      <c r="D471" t="s">
        <v>829</v>
      </c>
      <c r="E471" t="s">
        <v>830</v>
      </c>
    </row>
    <row r="472" spans="1:5" x14ac:dyDescent="0.25">
      <c r="A472" t="s">
        <v>963</v>
      </c>
      <c r="B472">
        <v>1017</v>
      </c>
      <c r="C472" s="3">
        <v>2529300</v>
      </c>
      <c r="D472" t="s">
        <v>964</v>
      </c>
      <c r="E472" t="s">
        <v>965</v>
      </c>
    </row>
    <row r="473" spans="1:5" x14ac:dyDescent="0.25">
      <c r="A473" t="s">
        <v>966</v>
      </c>
      <c r="B473">
        <v>1017</v>
      </c>
      <c r="C473" s="3">
        <v>2529300</v>
      </c>
      <c r="D473" t="s">
        <v>967</v>
      </c>
      <c r="E473" t="s">
        <v>968</v>
      </c>
    </row>
    <row r="474" spans="1:5" x14ac:dyDescent="0.25">
      <c r="A474" t="s">
        <v>981</v>
      </c>
      <c r="B474">
        <v>1017</v>
      </c>
      <c r="C474" s="3">
        <v>2529300</v>
      </c>
      <c r="D474" t="s">
        <v>982</v>
      </c>
      <c r="E474" t="s">
        <v>983</v>
      </c>
    </row>
    <row r="475" spans="1:5" x14ac:dyDescent="0.25">
      <c r="A475" t="s">
        <v>1266</v>
      </c>
      <c r="B475">
        <v>1017</v>
      </c>
      <c r="C475" s="3">
        <v>2529300</v>
      </c>
      <c r="D475" t="s">
        <v>1267</v>
      </c>
      <c r="E475" t="s">
        <v>1268</v>
      </c>
    </row>
    <row r="476" spans="1:5" x14ac:dyDescent="0.25">
      <c r="A476" t="s">
        <v>1269</v>
      </c>
      <c r="B476">
        <v>1017</v>
      </c>
      <c r="C476" s="3">
        <v>2529300</v>
      </c>
      <c r="D476" t="s">
        <v>1270</v>
      </c>
      <c r="E476" t="s">
        <v>1271</v>
      </c>
    </row>
    <row r="477" spans="1:5" x14ac:dyDescent="0.25">
      <c r="A477" t="s">
        <v>1542</v>
      </c>
      <c r="B477">
        <v>1017</v>
      </c>
      <c r="C477" s="3">
        <v>2529300</v>
      </c>
      <c r="D477" t="s">
        <v>1543</v>
      </c>
      <c r="E477" t="s">
        <v>1544</v>
      </c>
    </row>
    <row r="478" spans="1:5" x14ac:dyDescent="0.25">
      <c r="A478" t="s">
        <v>889</v>
      </c>
      <c r="B478">
        <v>1262</v>
      </c>
      <c r="C478" s="3">
        <v>2876510</v>
      </c>
      <c r="D478" t="s">
        <v>890</v>
      </c>
      <c r="E478" t="s">
        <v>891</v>
      </c>
    </row>
  </sheetData>
  <autoFilter ref="A1:E1" xr:uid="{00000000-0001-0000-0200-000000000000}">
    <sortState xmlns:xlrd2="http://schemas.microsoft.com/office/spreadsheetml/2017/richdata2" ref="A2:E478">
      <sortCondition ref="B1"/>
    </sortState>
  </autoFilter>
  <pageMargins left="0.75" right="0.75" top="1" bottom="1" header="0.5" footer="0.5"/>
  <headerFooter>
    <oddHeader>&amp;L&amp;"Calibri"&amp;10&amp;K000000 CPP Investments Classification: Internal 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9"/>
  <sheetViews>
    <sheetView workbookViewId="0">
      <selection activeCell="F39" sqref="F39"/>
    </sheetView>
  </sheetViews>
  <sheetFormatPr defaultRowHeight="15" x14ac:dyDescent="0.25"/>
  <sheetData>
    <row r="1" spans="1:6" x14ac:dyDescent="0.25">
      <c r="A1" s="1" t="s">
        <v>1545</v>
      </c>
      <c r="B1" s="1" t="s">
        <v>1546</v>
      </c>
      <c r="C1" s="1" t="s">
        <v>1547</v>
      </c>
      <c r="D1" s="1" t="s">
        <v>167</v>
      </c>
      <c r="E1" s="1" t="s">
        <v>22</v>
      </c>
      <c r="F1" s="1" t="s">
        <v>1548</v>
      </c>
    </row>
    <row r="2" spans="1:6" x14ac:dyDescent="0.25">
      <c r="A2" t="s">
        <v>1549</v>
      </c>
      <c r="B2">
        <v>7007</v>
      </c>
      <c r="C2">
        <v>-7616587</v>
      </c>
      <c r="D2">
        <v>1939</v>
      </c>
      <c r="E2">
        <v>-1085643</v>
      </c>
      <c r="F2">
        <v>100</v>
      </c>
    </row>
    <row r="3" spans="1:6" x14ac:dyDescent="0.25">
      <c r="A3" t="s">
        <v>1550</v>
      </c>
      <c r="B3">
        <v>-18433</v>
      </c>
      <c r="C3">
        <v>-7616587</v>
      </c>
      <c r="D3">
        <v>1861</v>
      </c>
      <c r="E3">
        <v>-1004909</v>
      </c>
      <c r="F3">
        <v>-2</v>
      </c>
    </row>
    <row r="4" spans="1:6" x14ac:dyDescent="0.25">
      <c r="A4" t="s">
        <v>1551</v>
      </c>
      <c r="B4">
        <v>73519</v>
      </c>
      <c r="C4">
        <v>-7616587</v>
      </c>
      <c r="D4">
        <v>1988</v>
      </c>
      <c r="E4">
        <v>-1184367</v>
      </c>
      <c r="F4">
        <v>100</v>
      </c>
    </row>
    <row r="5" spans="1:6" x14ac:dyDescent="0.25">
      <c r="A5" t="s">
        <v>1552</v>
      </c>
      <c r="B5">
        <v>420686</v>
      </c>
      <c r="C5">
        <v>-7616587</v>
      </c>
      <c r="D5">
        <v>2000</v>
      </c>
      <c r="E5">
        <v>-1614582</v>
      </c>
      <c r="F5">
        <v>100</v>
      </c>
    </row>
    <row r="6" spans="1:6" x14ac:dyDescent="0.25">
      <c r="A6" t="s">
        <v>1553</v>
      </c>
      <c r="B6">
        <v>372077</v>
      </c>
      <c r="C6">
        <v>-7616587</v>
      </c>
      <c r="D6">
        <v>1991</v>
      </c>
      <c r="E6">
        <v>-1562610</v>
      </c>
      <c r="F6">
        <v>100</v>
      </c>
    </row>
    <row r="7" spans="1:6" x14ac:dyDescent="0.25">
      <c r="A7" t="s">
        <v>1554</v>
      </c>
      <c r="B7">
        <v>386905</v>
      </c>
      <c r="C7">
        <v>-7616587</v>
      </c>
      <c r="D7">
        <v>1989</v>
      </c>
      <c r="E7">
        <v>-1679248</v>
      </c>
      <c r="F7">
        <v>100</v>
      </c>
    </row>
    <row r="8" spans="1:6" x14ac:dyDescent="0.25">
      <c r="A8" t="s">
        <v>1555</v>
      </c>
      <c r="B8">
        <v>318730</v>
      </c>
      <c r="C8">
        <v>-7616587</v>
      </c>
      <c r="D8">
        <v>2110</v>
      </c>
      <c r="E8">
        <v>-1709054</v>
      </c>
      <c r="F8">
        <v>100</v>
      </c>
    </row>
    <row r="9" spans="1:6" x14ac:dyDescent="0.25">
      <c r="A9" t="s">
        <v>1556</v>
      </c>
      <c r="B9">
        <v>495474</v>
      </c>
      <c r="C9">
        <v>-7616587</v>
      </c>
      <c r="D9">
        <v>2107</v>
      </c>
      <c r="E9">
        <v>-1902948</v>
      </c>
      <c r="F9">
        <v>100</v>
      </c>
    </row>
    <row r="10" spans="1:6" x14ac:dyDescent="0.25">
      <c r="A10" t="s">
        <v>1557</v>
      </c>
      <c r="B10">
        <v>486864</v>
      </c>
      <c r="C10">
        <v>-7616587</v>
      </c>
      <c r="D10">
        <v>2129</v>
      </c>
      <c r="E10">
        <v>-1924129</v>
      </c>
      <c r="F10">
        <v>100</v>
      </c>
    </row>
    <row r="11" spans="1:6" x14ac:dyDescent="0.25">
      <c r="A11" t="s">
        <v>1558</v>
      </c>
      <c r="B11">
        <v>513599</v>
      </c>
      <c r="C11">
        <v>-7616587</v>
      </c>
      <c r="D11">
        <v>2098</v>
      </c>
      <c r="E11">
        <v>-1948156</v>
      </c>
      <c r="F11">
        <v>100</v>
      </c>
    </row>
    <row r="12" spans="1:6" x14ac:dyDescent="0.25">
      <c r="A12" t="s">
        <v>1559</v>
      </c>
      <c r="B12">
        <v>488761</v>
      </c>
      <c r="C12">
        <v>-7616587</v>
      </c>
      <c r="D12">
        <v>2249</v>
      </c>
      <c r="E12">
        <v>-1982237</v>
      </c>
      <c r="F12">
        <v>100</v>
      </c>
    </row>
    <row r="13" spans="1:6" x14ac:dyDescent="0.25">
      <c r="A13" t="s">
        <v>1560</v>
      </c>
      <c r="B13">
        <v>405933</v>
      </c>
      <c r="C13">
        <v>-7616587</v>
      </c>
      <c r="D13">
        <v>2216</v>
      </c>
      <c r="E13">
        <v>-1835954</v>
      </c>
      <c r="F13">
        <v>100</v>
      </c>
    </row>
    <row r="14" spans="1:6" x14ac:dyDescent="0.25">
      <c r="A14" t="s">
        <v>1561</v>
      </c>
      <c r="B14">
        <v>526714</v>
      </c>
      <c r="C14">
        <v>-7616587</v>
      </c>
      <c r="D14">
        <v>2119</v>
      </c>
      <c r="E14">
        <v>-1930296</v>
      </c>
      <c r="F14">
        <v>100</v>
      </c>
    </row>
    <row r="15" spans="1:6" x14ac:dyDescent="0.25">
      <c r="A15" t="s">
        <v>1562</v>
      </c>
      <c r="B15">
        <v>490536</v>
      </c>
      <c r="C15">
        <v>-7616587</v>
      </c>
      <c r="D15">
        <v>2110</v>
      </c>
      <c r="E15">
        <v>-1907711</v>
      </c>
      <c r="F15">
        <v>100</v>
      </c>
    </row>
    <row r="16" spans="1:6" x14ac:dyDescent="0.25">
      <c r="A16" t="s">
        <v>1563</v>
      </c>
      <c r="B16">
        <v>593600</v>
      </c>
      <c r="C16">
        <v>-7616587</v>
      </c>
      <c r="D16">
        <v>2122</v>
      </c>
      <c r="E16">
        <v>-2032269</v>
      </c>
      <c r="F16">
        <v>100</v>
      </c>
    </row>
    <row r="17" spans="1:6" x14ac:dyDescent="0.25">
      <c r="A17" t="s">
        <v>1564</v>
      </c>
      <c r="B17">
        <v>522786</v>
      </c>
      <c r="C17">
        <v>-7616587</v>
      </c>
      <c r="D17">
        <v>2073</v>
      </c>
      <c r="E17">
        <v>-1931426</v>
      </c>
      <c r="F17">
        <v>100</v>
      </c>
    </row>
    <row r="18" spans="1:6" x14ac:dyDescent="0.25">
      <c r="A18" t="s">
        <v>1565</v>
      </c>
      <c r="B18">
        <v>474787</v>
      </c>
      <c r="C18">
        <v>-7616587</v>
      </c>
      <c r="D18">
        <v>1960</v>
      </c>
      <c r="E18">
        <v>-1790126</v>
      </c>
      <c r="F18">
        <v>100</v>
      </c>
    </row>
    <row r="19" spans="1:6" x14ac:dyDescent="0.25">
      <c r="A19" t="s">
        <v>1566</v>
      </c>
      <c r="B19">
        <v>592640</v>
      </c>
      <c r="C19">
        <v>-7616587</v>
      </c>
      <c r="D19">
        <v>2042</v>
      </c>
      <c r="E19">
        <v>-1977775</v>
      </c>
      <c r="F19">
        <v>100</v>
      </c>
    </row>
    <row r="20" spans="1:6" x14ac:dyDescent="0.25">
      <c r="A20" t="s">
        <v>1567</v>
      </c>
      <c r="B20">
        <v>619970</v>
      </c>
      <c r="C20">
        <v>-7616587</v>
      </c>
      <c r="D20">
        <v>2092</v>
      </c>
      <c r="E20">
        <v>-2041178</v>
      </c>
      <c r="F20">
        <v>100</v>
      </c>
    </row>
    <row r="21" spans="1:6" x14ac:dyDescent="0.25">
      <c r="A21" t="s">
        <v>1568</v>
      </c>
      <c r="B21">
        <v>579247</v>
      </c>
      <c r="C21">
        <v>-7616587</v>
      </c>
      <c r="D21">
        <v>2022</v>
      </c>
      <c r="E21">
        <v>-2000048</v>
      </c>
      <c r="F21">
        <v>100</v>
      </c>
    </row>
    <row r="22" spans="1:6" x14ac:dyDescent="0.25">
      <c r="A22" t="s">
        <v>1569</v>
      </c>
      <c r="B22">
        <v>544344</v>
      </c>
      <c r="C22">
        <v>-7616587</v>
      </c>
      <c r="D22">
        <v>1988</v>
      </c>
      <c r="E22">
        <v>-1922582</v>
      </c>
      <c r="F22">
        <v>100</v>
      </c>
    </row>
    <row r="23" spans="1:6" x14ac:dyDescent="0.25">
      <c r="A23" t="s">
        <v>1570</v>
      </c>
      <c r="B23">
        <v>620833</v>
      </c>
      <c r="C23">
        <v>-7616587</v>
      </c>
      <c r="D23">
        <v>1942</v>
      </c>
      <c r="E23">
        <v>-2017076</v>
      </c>
      <c r="F23">
        <v>100</v>
      </c>
    </row>
    <row r="24" spans="1:6" x14ac:dyDescent="0.25">
      <c r="A24" t="s">
        <v>1571</v>
      </c>
      <c r="B24">
        <v>599151</v>
      </c>
      <c r="C24">
        <v>-7616587</v>
      </c>
      <c r="D24">
        <v>1972</v>
      </c>
      <c r="E24">
        <v>-2028940</v>
      </c>
      <c r="F24">
        <v>100</v>
      </c>
    </row>
    <row r="25" spans="1:6" x14ac:dyDescent="0.25">
      <c r="A25" t="s">
        <v>1572</v>
      </c>
      <c r="B25">
        <v>618477</v>
      </c>
      <c r="C25">
        <v>-7616587</v>
      </c>
      <c r="D25">
        <v>2012</v>
      </c>
      <c r="E25">
        <v>-2099551</v>
      </c>
      <c r="F25">
        <v>100</v>
      </c>
    </row>
    <row r="26" spans="1:6" x14ac:dyDescent="0.25">
      <c r="A26" t="s">
        <v>1573</v>
      </c>
      <c r="B26">
        <v>672938</v>
      </c>
      <c r="C26">
        <v>-7616587</v>
      </c>
      <c r="D26">
        <v>2085</v>
      </c>
      <c r="E26">
        <v>-2217353</v>
      </c>
      <c r="F26">
        <v>100</v>
      </c>
    </row>
    <row r="27" spans="1:6" x14ac:dyDescent="0.25">
      <c r="A27" t="s">
        <v>1574</v>
      </c>
      <c r="B27">
        <v>642958</v>
      </c>
      <c r="C27">
        <v>-7616587</v>
      </c>
      <c r="D27">
        <v>2177</v>
      </c>
      <c r="E27">
        <v>-2256176</v>
      </c>
      <c r="F27">
        <v>100</v>
      </c>
    </row>
    <row r="28" spans="1:6" x14ac:dyDescent="0.25">
      <c r="A28" t="s">
        <v>1575</v>
      </c>
      <c r="B28">
        <v>691707</v>
      </c>
      <c r="C28">
        <v>-3105875</v>
      </c>
      <c r="D28">
        <v>-8611</v>
      </c>
      <c r="E28">
        <v>1268287</v>
      </c>
      <c r="F28">
        <v>55</v>
      </c>
    </row>
    <row r="29" spans="1:6" x14ac:dyDescent="0.25">
      <c r="A29" t="s">
        <v>1576</v>
      </c>
      <c r="B29">
        <v>654843</v>
      </c>
      <c r="C29">
        <v>-7616587</v>
      </c>
      <c r="D29">
        <v>2113</v>
      </c>
      <c r="E29">
        <v>-2288086</v>
      </c>
      <c r="F29">
        <v>100</v>
      </c>
    </row>
    <row r="30" spans="1:6" x14ac:dyDescent="0.25">
      <c r="A30" t="s">
        <v>1577</v>
      </c>
      <c r="B30">
        <v>679130</v>
      </c>
      <c r="C30">
        <v>-7616587</v>
      </c>
      <c r="D30">
        <v>2056</v>
      </c>
      <c r="E30">
        <v>-2285000</v>
      </c>
      <c r="F30">
        <v>100</v>
      </c>
    </row>
    <row r="31" spans="1:6" x14ac:dyDescent="0.25">
      <c r="A31" t="s">
        <v>1578</v>
      </c>
      <c r="B31">
        <v>640755</v>
      </c>
      <c r="C31">
        <v>-7616587</v>
      </c>
      <c r="D31">
        <v>2118</v>
      </c>
      <c r="E31">
        <v>-2262737</v>
      </c>
      <c r="F31">
        <v>100</v>
      </c>
    </row>
    <row r="32" spans="1:6" x14ac:dyDescent="0.25">
      <c r="A32" t="s">
        <v>1579</v>
      </c>
      <c r="B32">
        <v>464154</v>
      </c>
      <c r="C32">
        <v>-7616587</v>
      </c>
      <c r="D32">
        <v>2090</v>
      </c>
      <c r="E32">
        <v>-2035020</v>
      </c>
      <c r="F32">
        <v>100</v>
      </c>
    </row>
    <row r="33" spans="1:6" x14ac:dyDescent="0.25">
      <c r="A33" t="s">
        <v>1580</v>
      </c>
      <c r="B33">
        <v>482339</v>
      </c>
      <c r="C33">
        <v>-7616587</v>
      </c>
      <c r="D33">
        <v>2099</v>
      </c>
      <c r="E33">
        <v>-2050900</v>
      </c>
      <c r="F33">
        <v>100</v>
      </c>
    </row>
    <row r="34" spans="1:6" x14ac:dyDescent="0.25">
      <c r="A34" t="s">
        <v>1581</v>
      </c>
      <c r="B34">
        <v>446334</v>
      </c>
      <c r="C34">
        <v>-7616587</v>
      </c>
      <c r="D34">
        <v>2132</v>
      </c>
      <c r="E34">
        <v>-2010020</v>
      </c>
      <c r="F34">
        <v>100</v>
      </c>
    </row>
    <row r="35" spans="1:6" x14ac:dyDescent="0.25">
      <c r="A35" t="s">
        <v>1582</v>
      </c>
      <c r="B35">
        <v>405337</v>
      </c>
      <c r="C35">
        <v>-7616587</v>
      </c>
      <c r="D35">
        <v>2140</v>
      </c>
      <c r="E35">
        <v>-2006181</v>
      </c>
      <c r="F35">
        <v>100</v>
      </c>
    </row>
    <row r="36" spans="1:6" x14ac:dyDescent="0.25">
      <c r="A36" t="s">
        <v>1583</v>
      </c>
      <c r="B36">
        <v>337670</v>
      </c>
      <c r="C36">
        <v>-7616587</v>
      </c>
      <c r="D36">
        <v>2020</v>
      </c>
      <c r="E36">
        <v>-1838003</v>
      </c>
      <c r="F36">
        <v>100</v>
      </c>
    </row>
    <row r="37" spans="1:6" x14ac:dyDescent="0.25">
      <c r="A37" t="s">
        <v>1584</v>
      </c>
      <c r="B37">
        <v>271574</v>
      </c>
      <c r="C37">
        <v>-7616587</v>
      </c>
      <c r="D37">
        <v>2001</v>
      </c>
      <c r="E37">
        <v>-1758189</v>
      </c>
      <c r="F37">
        <v>100</v>
      </c>
    </row>
    <row r="38" spans="1:6" x14ac:dyDescent="0.25">
      <c r="A38" t="s">
        <v>1585</v>
      </c>
      <c r="B38">
        <v>240927</v>
      </c>
      <c r="C38">
        <v>-7616587</v>
      </c>
      <c r="D38">
        <v>2100</v>
      </c>
      <c r="E38">
        <v>-1787370</v>
      </c>
      <c r="F38">
        <v>100</v>
      </c>
    </row>
    <row r="39" spans="1:6" x14ac:dyDescent="0.25">
      <c r="A39" t="s">
        <v>1586</v>
      </c>
      <c r="B39">
        <v>292351</v>
      </c>
      <c r="C39">
        <v>-7616587</v>
      </c>
      <c r="D39">
        <v>2149</v>
      </c>
      <c r="E39">
        <v>-1801830</v>
      </c>
      <c r="F39">
        <v>100</v>
      </c>
    </row>
    <row r="40" spans="1:6" x14ac:dyDescent="0.25">
      <c r="A40" t="s">
        <v>1587</v>
      </c>
      <c r="B40">
        <v>237099</v>
      </c>
      <c r="C40">
        <v>-7616587</v>
      </c>
      <c r="D40">
        <v>2432</v>
      </c>
      <c r="E40">
        <v>-1951090</v>
      </c>
      <c r="F40">
        <v>100</v>
      </c>
    </row>
    <row r="41" spans="1:6" x14ac:dyDescent="0.25">
      <c r="A41" t="s">
        <v>1588</v>
      </c>
      <c r="B41">
        <v>-56427</v>
      </c>
      <c r="C41">
        <v>-7616587</v>
      </c>
      <c r="D41">
        <v>2492</v>
      </c>
      <c r="E41">
        <v>-1631829</v>
      </c>
      <c r="F41">
        <v>-3</v>
      </c>
    </row>
    <row r="42" spans="1:6" x14ac:dyDescent="0.25">
      <c r="A42" t="s">
        <v>1589</v>
      </c>
      <c r="B42">
        <v>89906</v>
      </c>
      <c r="C42">
        <v>-7616587</v>
      </c>
      <c r="D42">
        <v>2550</v>
      </c>
      <c r="E42">
        <v>-1758707</v>
      </c>
      <c r="F42">
        <v>100</v>
      </c>
    </row>
    <row r="43" spans="1:6" x14ac:dyDescent="0.25">
      <c r="A43" t="s">
        <v>1590</v>
      </c>
      <c r="B43">
        <v>-351098</v>
      </c>
      <c r="C43">
        <v>-17434636</v>
      </c>
      <c r="D43">
        <v>26091</v>
      </c>
      <c r="E43">
        <v>-4510473</v>
      </c>
      <c r="F43">
        <v>-8</v>
      </c>
    </row>
    <row r="44" spans="1:6" x14ac:dyDescent="0.25">
      <c r="A44" t="s">
        <v>1591</v>
      </c>
      <c r="B44">
        <v>-237019</v>
      </c>
      <c r="C44">
        <v>-17434636</v>
      </c>
      <c r="D44">
        <v>26135</v>
      </c>
      <c r="E44">
        <v>-4659772</v>
      </c>
      <c r="F44">
        <v>-5</v>
      </c>
    </row>
    <row r="45" spans="1:6" x14ac:dyDescent="0.25">
      <c r="A45" t="s">
        <v>1592</v>
      </c>
      <c r="B45">
        <v>-300903</v>
      </c>
      <c r="C45">
        <v>-17434636</v>
      </c>
      <c r="D45">
        <v>26111</v>
      </c>
      <c r="E45">
        <v>-4654947</v>
      </c>
      <c r="F45">
        <v>-6</v>
      </c>
    </row>
    <row r="46" spans="1:6" x14ac:dyDescent="0.25">
      <c r="A46" t="s">
        <v>1593</v>
      </c>
      <c r="B46">
        <v>-392047</v>
      </c>
      <c r="C46">
        <v>-17434636</v>
      </c>
      <c r="D46">
        <v>26042</v>
      </c>
      <c r="E46">
        <v>-4140726</v>
      </c>
      <c r="F46">
        <v>-9</v>
      </c>
    </row>
    <row r="47" spans="1:6" x14ac:dyDescent="0.25">
      <c r="A47" t="s">
        <v>1594</v>
      </c>
      <c r="B47">
        <v>-137456</v>
      </c>
      <c r="C47">
        <v>-17434636</v>
      </c>
      <c r="D47">
        <v>26031</v>
      </c>
      <c r="E47">
        <v>-4491153</v>
      </c>
      <c r="F47">
        <v>-3</v>
      </c>
    </row>
    <row r="48" spans="1:6" x14ac:dyDescent="0.25">
      <c r="A48" t="s">
        <v>1595</v>
      </c>
      <c r="B48">
        <v>28350</v>
      </c>
      <c r="C48">
        <v>-17434636</v>
      </c>
      <c r="D48">
        <v>26004</v>
      </c>
      <c r="E48">
        <v>-4843033</v>
      </c>
      <c r="F48">
        <v>100</v>
      </c>
    </row>
    <row r="49" spans="1:6" x14ac:dyDescent="0.25">
      <c r="A49" t="s">
        <v>1596</v>
      </c>
      <c r="B49">
        <v>-110444</v>
      </c>
      <c r="C49">
        <v>-17434636</v>
      </c>
      <c r="D49">
        <v>25987</v>
      </c>
      <c r="E49">
        <v>-4696328</v>
      </c>
      <c r="F49">
        <v>-2</v>
      </c>
    </row>
    <row r="50" spans="1:6" x14ac:dyDescent="0.25">
      <c r="A50" t="s">
        <v>1597</v>
      </c>
      <c r="B50">
        <v>225030</v>
      </c>
      <c r="C50">
        <v>-17434636</v>
      </c>
      <c r="D50">
        <v>25929</v>
      </c>
      <c r="E50">
        <v>-5069955</v>
      </c>
      <c r="F50">
        <v>100</v>
      </c>
    </row>
    <row r="51" spans="1:6" x14ac:dyDescent="0.25">
      <c r="A51" t="s">
        <v>1598</v>
      </c>
      <c r="B51">
        <v>2114</v>
      </c>
      <c r="C51">
        <v>-17434636</v>
      </c>
      <c r="D51">
        <v>25885</v>
      </c>
      <c r="E51">
        <v>-4886962</v>
      </c>
      <c r="F51">
        <v>100</v>
      </c>
    </row>
    <row r="52" spans="1:6" x14ac:dyDescent="0.25">
      <c r="A52" t="s">
        <v>1599</v>
      </c>
      <c r="B52">
        <v>-233632</v>
      </c>
      <c r="C52">
        <v>-19081108</v>
      </c>
      <c r="D52">
        <v>22720</v>
      </c>
      <c r="E52">
        <v>-2091348</v>
      </c>
      <c r="F52">
        <v>-11</v>
      </c>
    </row>
    <row r="53" spans="1:6" x14ac:dyDescent="0.25">
      <c r="A53" t="s">
        <v>1600</v>
      </c>
      <c r="B53">
        <v>173673</v>
      </c>
      <c r="C53">
        <v>-19081108</v>
      </c>
      <c r="D53">
        <v>22625</v>
      </c>
      <c r="E53">
        <v>-2824079</v>
      </c>
      <c r="F53">
        <v>100</v>
      </c>
    </row>
    <row r="54" spans="1:6" x14ac:dyDescent="0.25">
      <c r="A54" t="s">
        <v>1601</v>
      </c>
      <c r="B54">
        <v>153497</v>
      </c>
      <c r="C54">
        <v>-19081108</v>
      </c>
      <c r="D54">
        <v>22619</v>
      </c>
      <c r="E54">
        <v>-2908078</v>
      </c>
      <c r="F54">
        <v>100</v>
      </c>
    </row>
    <row r="55" spans="1:6" x14ac:dyDescent="0.25">
      <c r="A55" t="s">
        <v>1602</v>
      </c>
      <c r="B55">
        <v>-8940</v>
      </c>
      <c r="C55">
        <v>-19081108</v>
      </c>
      <c r="D55">
        <v>22557</v>
      </c>
      <c r="E55">
        <v>-2567146</v>
      </c>
      <c r="F55">
        <v>0</v>
      </c>
    </row>
    <row r="56" spans="1:6" x14ac:dyDescent="0.25">
      <c r="A56" t="s">
        <v>1603</v>
      </c>
      <c r="B56">
        <v>-99556</v>
      </c>
      <c r="C56">
        <v>-19081108</v>
      </c>
      <c r="D56">
        <v>22571</v>
      </c>
      <c r="E56">
        <v>-2288811</v>
      </c>
      <c r="F56">
        <v>-4</v>
      </c>
    </row>
    <row r="57" spans="1:6" x14ac:dyDescent="0.25">
      <c r="A57" t="s">
        <v>1604</v>
      </c>
      <c r="B57">
        <v>-378383</v>
      </c>
      <c r="C57">
        <v>-19081108</v>
      </c>
      <c r="D57">
        <v>22608</v>
      </c>
      <c r="E57">
        <v>-1745879</v>
      </c>
      <c r="F57">
        <v>-22</v>
      </c>
    </row>
    <row r="58" spans="1:6" x14ac:dyDescent="0.25">
      <c r="A58" t="s">
        <v>1605</v>
      </c>
      <c r="B58">
        <v>-389783</v>
      </c>
      <c r="C58">
        <v>-19081108</v>
      </c>
      <c r="D58">
        <v>22500</v>
      </c>
      <c r="E58">
        <v>-1622200</v>
      </c>
      <c r="F58">
        <v>-24</v>
      </c>
    </row>
    <row r="59" spans="1:6" x14ac:dyDescent="0.25">
      <c r="A59" t="s">
        <v>1606</v>
      </c>
      <c r="B59">
        <v>-408038</v>
      </c>
      <c r="C59">
        <v>-19081108</v>
      </c>
      <c r="D59">
        <v>22498</v>
      </c>
      <c r="E59">
        <v>-1683082</v>
      </c>
      <c r="F59">
        <v>-24</v>
      </c>
    </row>
    <row r="60" spans="1:6" x14ac:dyDescent="0.25">
      <c r="A60" t="s">
        <v>1607</v>
      </c>
      <c r="B60">
        <v>-318663</v>
      </c>
      <c r="C60">
        <v>-19081108</v>
      </c>
      <c r="D60">
        <v>22583</v>
      </c>
      <c r="E60">
        <v>-1925841</v>
      </c>
      <c r="F60">
        <v>-17</v>
      </c>
    </row>
    <row r="61" spans="1:6" x14ac:dyDescent="0.25">
      <c r="A61" t="s">
        <v>1608</v>
      </c>
      <c r="B61">
        <v>-1142165</v>
      </c>
      <c r="C61">
        <v>-19081108</v>
      </c>
      <c r="D61">
        <v>23137</v>
      </c>
      <c r="E61">
        <v>-788748</v>
      </c>
      <c r="F61">
        <v>-145</v>
      </c>
    </row>
    <row r="62" spans="1:6" x14ac:dyDescent="0.25">
      <c r="A62" t="s">
        <v>1609</v>
      </c>
      <c r="B62">
        <v>-1948368</v>
      </c>
      <c r="C62">
        <v>-19081108</v>
      </c>
      <c r="D62">
        <v>22835</v>
      </c>
      <c r="E62">
        <v>1431634</v>
      </c>
      <c r="F62">
        <v>-136</v>
      </c>
    </row>
    <row r="63" spans="1:6" x14ac:dyDescent="0.25">
      <c r="A63" t="s">
        <v>1610</v>
      </c>
      <c r="B63">
        <v>-1938876</v>
      </c>
      <c r="C63">
        <v>-19081108</v>
      </c>
      <c r="D63">
        <v>22627</v>
      </c>
      <c r="E63">
        <v>2195919</v>
      </c>
      <c r="F63">
        <v>-88</v>
      </c>
    </row>
    <row r="64" spans="1:6" x14ac:dyDescent="0.25">
      <c r="A64" t="s">
        <v>1611</v>
      </c>
      <c r="B64">
        <v>-3085899</v>
      </c>
      <c r="C64">
        <v>-21957298</v>
      </c>
      <c r="D64">
        <v>15765</v>
      </c>
      <c r="E64">
        <v>6827298</v>
      </c>
      <c r="F64">
        <v>-45</v>
      </c>
    </row>
    <row r="65" spans="1:6" x14ac:dyDescent="0.25">
      <c r="A65" t="s">
        <v>1612</v>
      </c>
      <c r="B65">
        <v>255310</v>
      </c>
      <c r="C65">
        <v>-21957298</v>
      </c>
      <c r="D65">
        <v>16028</v>
      </c>
      <c r="E65">
        <v>4008837</v>
      </c>
      <c r="F65">
        <v>6</v>
      </c>
    </row>
    <row r="66" spans="1:6" x14ac:dyDescent="0.25">
      <c r="A66" t="s">
        <v>1613</v>
      </c>
      <c r="B66">
        <v>-1402774</v>
      </c>
      <c r="C66">
        <v>-21957298</v>
      </c>
      <c r="D66">
        <v>16316</v>
      </c>
      <c r="E66">
        <v>4354374</v>
      </c>
      <c r="F66">
        <v>-32</v>
      </c>
    </row>
    <row r="67" spans="1:6" x14ac:dyDescent="0.25">
      <c r="A67" t="s">
        <v>1614</v>
      </c>
      <c r="B67">
        <v>-1176423</v>
      </c>
      <c r="C67">
        <v>-21957298</v>
      </c>
      <c r="D67">
        <v>16628</v>
      </c>
      <c r="E67">
        <v>3874520</v>
      </c>
      <c r="F67">
        <v>-30</v>
      </c>
    </row>
    <row r="68" spans="1:6" x14ac:dyDescent="0.25">
      <c r="A68" t="s">
        <v>1615</v>
      </c>
      <c r="B68">
        <v>-1057890</v>
      </c>
      <c r="C68">
        <v>-30606720</v>
      </c>
      <c r="D68">
        <v>56584</v>
      </c>
      <c r="E68">
        <v>11136615</v>
      </c>
      <c r="F68">
        <v>-9</v>
      </c>
    </row>
    <row r="69" spans="1:6" x14ac:dyDescent="0.25">
      <c r="A69" t="s">
        <v>1616</v>
      </c>
      <c r="B69">
        <v>-1202477</v>
      </c>
      <c r="C69">
        <v>-30606720</v>
      </c>
      <c r="D69">
        <v>56280</v>
      </c>
      <c r="E69">
        <v>10927684</v>
      </c>
      <c r="F69">
        <v>-11</v>
      </c>
    </row>
    <row r="70" spans="1:6" x14ac:dyDescent="0.25">
      <c r="A70" t="s">
        <v>1617</v>
      </c>
      <c r="B70">
        <v>-2277999</v>
      </c>
      <c r="C70">
        <v>-30606720</v>
      </c>
      <c r="D70">
        <v>56599</v>
      </c>
      <c r="E70">
        <v>11896111</v>
      </c>
      <c r="F70">
        <v>-19</v>
      </c>
    </row>
    <row r="71" spans="1:6" x14ac:dyDescent="0.25">
      <c r="A71" t="s">
        <v>1618</v>
      </c>
      <c r="B71">
        <v>-1284302</v>
      </c>
      <c r="C71">
        <v>-30606720</v>
      </c>
      <c r="D71">
        <v>56344</v>
      </c>
      <c r="E71">
        <v>10908196</v>
      </c>
      <c r="F71">
        <v>-12</v>
      </c>
    </row>
    <row r="72" spans="1:6" x14ac:dyDescent="0.25">
      <c r="A72" t="s">
        <v>1619</v>
      </c>
      <c r="B72">
        <v>-876297</v>
      </c>
      <c r="C72">
        <v>-12637527</v>
      </c>
      <c r="D72">
        <v>34941</v>
      </c>
      <c r="E72">
        <v>11684683</v>
      </c>
      <c r="F72">
        <v>-7</v>
      </c>
    </row>
    <row r="73" spans="1:6" x14ac:dyDescent="0.25">
      <c r="A73" t="s">
        <v>1620</v>
      </c>
      <c r="B73">
        <v>-3943187</v>
      </c>
      <c r="C73">
        <v>-27730530</v>
      </c>
      <c r="D73">
        <v>60711</v>
      </c>
      <c r="E73">
        <v>9231108</v>
      </c>
      <c r="F73">
        <v>-43</v>
      </c>
    </row>
    <row r="74" spans="1:6" x14ac:dyDescent="0.25">
      <c r="A74" t="s">
        <v>1621</v>
      </c>
      <c r="B74">
        <v>-1941423</v>
      </c>
      <c r="C74">
        <v>-30606720</v>
      </c>
      <c r="D74">
        <v>56964</v>
      </c>
      <c r="E74">
        <v>11112226</v>
      </c>
      <c r="F74">
        <v>-17</v>
      </c>
    </row>
    <row r="75" spans="1:6" x14ac:dyDescent="0.25">
      <c r="A75" t="s">
        <v>1622</v>
      </c>
      <c r="B75">
        <v>-686200</v>
      </c>
      <c r="C75">
        <v>-30606720</v>
      </c>
      <c r="D75">
        <v>56084</v>
      </c>
      <c r="E75">
        <v>9376076</v>
      </c>
      <c r="F75">
        <v>-7</v>
      </c>
    </row>
    <row r="76" spans="1:6" x14ac:dyDescent="0.25">
      <c r="A76" t="s">
        <v>1623</v>
      </c>
      <c r="B76">
        <v>135879</v>
      </c>
      <c r="C76">
        <v>-30606720</v>
      </c>
      <c r="D76">
        <v>56197</v>
      </c>
      <c r="E76">
        <v>8182160</v>
      </c>
      <c r="F76">
        <v>2</v>
      </c>
    </row>
    <row r="77" spans="1:6" x14ac:dyDescent="0.25">
      <c r="A77" t="s">
        <v>1624</v>
      </c>
      <c r="B77">
        <v>-92903</v>
      </c>
      <c r="C77">
        <v>-30606720</v>
      </c>
      <c r="D77">
        <v>56122</v>
      </c>
      <c r="E77">
        <v>8113160</v>
      </c>
      <c r="F77">
        <v>-1</v>
      </c>
    </row>
    <row r="78" spans="1:6" x14ac:dyDescent="0.25">
      <c r="A78" t="s">
        <v>1625</v>
      </c>
      <c r="B78">
        <v>-406298</v>
      </c>
      <c r="C78">
        <v>-30606720</v>
      </c>
      <c r="D78">
        <v>56063</v>
      </c>
      <c r="E78">
        <v>8297135</v>
      </c>
      <c r="F78">
        <v>-5</v>
      </c>
    </row>
    <row r="79" spans="1:6" x14ac:dyDescent="0.25">
      <c r="A79" t="s">
        <v>1626</v>
      </c>
      <c r="B79">
        <v>29283</v>
      </c>
      <c r="C79">
        <v>-30606720</v>
      </c>
      <c r="D79">
        <v>56049</v>
      </c>
      <c r="E79">
        <v>7892257</v>
      </c>
      <c r="F79">
        <v>0</v>
      </c>
    </row>
    <row r="80" spans="1:6" x14ac:dyDescent="0.25">
      <c r="A80" t="s">
        <v>1627</v>
      </c>
      <c r="B80">
        <v>-727546</v>
      </c>
      <c r="C80">
        <v>-30606720</v>
      </c>
      <c r="D80">
        <v>55898</v>
      </c>
      <c r="E80">
        <v>8957551</v>
      </c>
      <c r="F80">
        <v>-8</v>
      </c>
    </row>
    <row r="81" spans="1:6" x14ac:dyDescent="0.25">
      <c r="A81" t="s">
        <v>1628</v>
      </c>
      <c r="B81">
        <v>-220319</v>
      </c>
      <c r="C81">
        <v>-30606720</v>
      </c>
      <c r="D81">
        <v>55288</v>
      </c>
      <c r="E81">
        <v>8421597</v>
      </c>
      <c r="F81">
        <v>-3</v>
      </c>
    </row>
    <row r="82" spans="1:6" x14ac:dyDescent="0.25">
      <c r="A82" t="s">
        <v>1629</v>
      </c>
      <c r="B82">
        <v>891446</v>
      </c>
      <c r="C82">
        <v>-30606720</v>
      </c>
      <c r="D82">
        <v>55824</v>
      </c>
      <c r="E82">
        <v>6434682</v>
      </c>
      <c r="F82">
        <v>14</v>
      </c>
    </row>
    <row r="83" spans="1:6" x14ac:dyDescent="0.25">
      <c r="A83" t="s">
        <v>1630</v>
      </c>
      <c r="B83">
        <v>1329817</v>
      </c>
      <c r="C83">
        <v>-30606720</v>
      </c>
      <c r="D83">
        <v>55502</v>
      </c>
      <c r="E83">
        <v>5943255</v>
      </c>
      <c r="F83">
        <v>22</v>
      </c>
    </row>
    <row r="84" spans="1:6" x14ac:dyDescent="0.25">
      <c r="A84" t="s">
        <v>1631</v>
      </c>
      <c r="B84">
        <v>676666</v>
      </c>
      <c r="C84">
        <v>-30606720</v>
      </c>
      <c r="D84">
        <v>55479</v>
      </c>
      <c r="E84">
        <v>6407108</v>
      </c>
      <c r="F84">
        <v>11</v>
      </c>
    </row>
    <row r="85" spans="1:6" x14ac:dyDescent="0.25">
      <c r="A85" t="s">
        <v>1632</v>
      </c>
      <c r="B85">
        <v>650623</v>
      </c>
      <c r="C85">
        <v>-30606720</v>
      </c>
      <c r="D85">
        <v>55600</v>
      </c>
      <c r="E85">
        <v>6178786</v>
      </c>
      <c r="F85">
        <v>11</v>
      </c>
    </row>
    <row r="86" spans="1:6" x14ac:dyDescent="0.25">
      <c r="A86" t="s">
        <v>1633</v>
      </c>
      <c r="B86">
        <v>1473255</v>
      </c>
      <c r="C86">
        <v>-30606720</v>
      </c>
      <c r="D86">
        <v>54966</v>
      </c>
      <c r="E86">
        <v>5087205</v>
      </c>
      <c r="F86">
        <v>29</v>
      </c>
    </row>
    <row r="87" spans="1:6" x14ac:dyDescent="0.25">
      <c r="A87" t="s">
        <v>1634</v>
      </c>
      <c r="B87">
        <v>1274608</v>
      </c>
      <c r="C87">
        <v>-30606720</v>
      </c>
      <c r="D87">
        <v>54865</v>
      </c>
      <c r="E87">
        <v>5245442</v>
      </c>
      <c r="F87">
        <v>24</v>
      </c>
    </row>
    <row r="88" spans="1:6" x14ac:dyDescent="0.25">
      <c r="A88" t="s">
        <v>1635</v>
      </c>
      <c r="B88">
        <v>3846500</v>
      </c>
      <c r="C88">
        <v>-30606720</v>
      </c>
      <c r="D88">
        <v>53685</v>
      </c>
      <c r="E88">
        <v>2297158</v>
      </c>
      <c r="F88">
        <v>167</v>
      </c>
    </row>
    <row r="89" spans="1:6" x14ac:dyDescent="0.25">
      <c r="A89" t="s">
        <v>1636</v>
      </c>
      <c r="B89">
        <v>4701525</v>
      </c>
      <c r="C89">
        <v>-30606720</v>
      </c>
      <c r="D89">
        <v>53984</v>
      </c>
      <c r="E89">
        <v>1008331</v>
      </c>
      <c r="F89">
        <v>466</v>
      </c>
    </row>
    <row r="90" spans="1:6" x14ac:dyDescent="0.25">
      <c r="A90" t="s">
        <v>1637</v>
      </c>
      <c r="B90">
        <v>3984943</v>
      </c>
      <c r="C90">
        <v>-30606720</v>
      </c>
      <c r="D90">
        <v>54286</v>
      </c>
      <c r="E90">
        <v>1621676</v>
      </c>
      <c r="F90">
        <v>246</v>
      </c>
    </row>
    <row r="91" spans="1:6" x14ac:dyDescent="0.25">
      <c r="A91" t="s">
        <v>1638</v>
      </c>
      <c r="B91">
        <v>4136642</v>
      </c>
      <c r="C91">
        <v>-30606720</v>
      </c>
      <c r="D91">
        <v>54066</v>
      </c>
      <c r="E91">
        <v>1594423</v>
      </c>
      <c r="F91">
        <v>259</v>
      </c>
    </row>
    <row r="92" spans="1:6" x14ac:dyDescent="0.25">
      <c r="A92" t="s">
        <v>1639</v>
      </c>
      <c r="B92">
        <v>4225937</v>
      </c>
      <c r="C92">
        <v>-30606720</v>
      </c>
      <c r="D92">
        <v>53812</v>
      </c>
      <c r="E92">
        <v>1319434</v>
      </c>
      <c r="F92">
        <v>320</v>
      </c>
    </row>
    <row r="93" spans="1:6" x14ac:dyDescent="0.25">
      <c r="A93" t="s">
        <v>1640</v>
      </c>
      <c r="B93">
        <v>3406009</v>
      </c>
      <c r="C93">
        <v>-12637527</v>
      </c>
      <c r="D93">
        <v>33964</v>
      </c>
      <c r="E93">
        <v>5845955</v>
      </c>
      <c r="F93">
        <v>58</v>
      </c>
    </row>
    <row r="94" spans="1:6" x14ac:dyDescent="0.25">
      <c r="A94" t="s">
        <v>1641</v>
      </c>
      <c r="B94">
        <v>3943318</v>
      </c>
      <c r="C94">
        <v>-30606720</v>
      </c>
      <c r="D94">
        <v>54394</v>
      </c>
      <c r="E94">
        <v>1103604</v>
      </c>
      <c r="F94">
        <v>357</v>
      </c>
    </row>
    <row r="95" spans="1:6" x14ac:dyDescent="0.25">
      <c r="A95" t="s">
        <v>1642</v>
      </c>
      <c r="B95">
        <v>2552547</v>
      </c>
      <c r="C95">
        <v>-30606720</v>
      </c>
      <c r="D95">
        <v>54831</v>
      </c>
      <c r="E95">
        <v>2368635</v>
      </c>
      <c r="F95">
        <v>108</v>
      </c>
    </row>
    <row r="96" spans="1:6" x14ac:dyDescent="0.25">
      <c r="A96" t="s">
        <v>1643</v>
      </c>
      <c r="B96">
        <v>2822036</v>
      </c>
      <c r="C96">
        <v>-36082057</v>
      </c>
      <c r="D96">
        <v>52438</v>
      </c>
      <c r="E96">
        <v>930323</v>
      </c>
      <c r="F96">
        <v>303</v>
      </c>
    </row>
    <row r="97" spans="1:6" x14ac:dyDescent="0.25">
      <c r="A97" t="s">
        <v>1644</v>
      </c>
      <c r="B97">
        <v>2267399</v>
      </c>
      <c r="C97">
        <v>-36082057</v>
      </c>
      <c r="D97">
        <v>52935</v>
      </c>
      <c r="E97">
        <v>1772130</v>
      </c>
      <c r="F97">
        <v>128</v>
      </c>
    </row>
    <row r="98" spans="1:6" x14ac:dyDescent="0.25">
      <c r="A98" t="s">
        <v>1645</v>
      </c>
      <c r="B98">
        <v>2252303</v>
      </c>
      <c r="C98">
        <v>-36082057</v>
      </c>
      <c r="D98">
        <v>53132</v>
      </c>
      <c r="E98">
        <v>1526112</v>
      </c>
      <c r="F98">
        <v>148</v>
      </c>
    </row>
    <row r="99" spans="1:6" x14ac:dyDescent="0.25">
      <c r="A99" t="s">
        <v>1646</v>
      </c>
      <c r="B99">
        <v>3820070</v>
      </c>
      <c r="C99">
        <v>-36082057</v>
      </c>
      <c r="D99">
        <v>52743</v>
      </c>
      <c r="E99">
        <v>-495634</v>
      </c>
      <c r="F99">
        <v>100</v>
      </c>
    </row>
    <row r="100" spans="1:6" x14ac:dyDescent="0.25">
      <c r="A100" t="s">
        <v>1647</v>
      </c>
      <c r="B100">
        <v>3716634</v>
      </c>
      <c r="C100">
        <v>-36082057</v>
      </c>
      <c r="D100">
        <v>52381</v>
      </c>
      <c r="E100">
        <v>-388548</v>
      </c>
      <c r="F100">
        <v>100</v>
      </c>
    </row>
    <row r="101" spans="1:6" x14ac:dyDescent="0.25">
      <c r="A101" t="s">
        <v>1648</v>
      </c>
      <c r="B101">
        <v>3573168</v>
      </c>
      <c r="C101">
        <v>-36082057</v>
      </c>
      <c r="D101">
        <v>52734</v>
      </c>
      <c r="E101">
        <v>-500947</v>
      </c>
      <c r="F101">
        <v>100</v>
      </c>
    </row>
    <row r="102" spans="1:6" x14ac:dyDescent="0.25">
      <c r="A102" t="s">
        <v>1649</v>
      </c>
      <c r="B102">
        <v>3760060</v>
      </c>
      <c r="C102">
        <v>-36082057</v>
      </c>
      <c r="D102">
        <v>52710</v>
      </c>
      <c r="E102">
        <v>-658208</v>
      </c>
      <c r="F102">
        <v>100</v>
      </c>
    </row>
    <row r="103" spans="1:6" x14ac:dyDescent="0.25">
      <c r="A103" t="s">
        <v>1650</v>
      </c>
      <c r="B103">
        <v>4202586</v>
      </c>
      <c r="C103">
        <v>-36082057</v>
      </c>
      <c r="D103">
        <v>53245</v>
      </c>
      <c r="E103">
        <v>-1427905</v>
      </c>
      <c r="F103">
        <v>100</v>
      </c>
    </row>
    <row r="104" spans="1:6" x14ac:dyDescent="0.25">
      <c r="A104" t="s">
        <v>1651</v>
      </c>
      <c r="B104">
        <v>3806164</v>
      </c>
      <c r="C104">
        <v>-12637527</v>
      </c>
      <c r="D104">
        <v>34202</v>
      </c>
      <c r="E104">
        <v>5004361</v>
      </c>
      <c r="F104">
        <v>76</v>
      </c>
    </row>
    <row r="105" spans="1:6" x14ac:dyDescent="0.25">
      <c r="A105" t="s">
        <v>1652</v>
      </c>
      <c r="B105">
        <v>4305164</v>
      </c>
      <c r="C105">
        <v>-36082057</v>
      </c>
      <c r="D105">
        <v>53145</v>
      </c>
      <c r="E105">
        <v>-1807193</v>
      </c>
      <c r="F105">
        <v>100</v>
      </c>
    </row>
    <row r="106" spans="1:6" x14ac:dyDescent="0.25">
      <c r="A106" t="s">
        <v>1653</v>
      </c>
      <c r="B106">
        <v>4091626</v>
      </c>
      <c r="C106">
        <v>-36082057</v>
      </c>
      <c r="D106">
        <v>53294</v>
      </c>
      <c r="E106">
        <v>-1743098</v>
      </c>
      <c r="F106">
        <v>100</v>
      </c>
    </row>
    <row r="107" spans="1:6" x14ac:dyDescent="0.25">
      <c r="A107" t="s">
        <v>1654</v>
      </c>
      <c r="B107">
        <v>4740602</v>
      </c>
      <c r="C107">
        <v>-36082057</v>
      </c>
      <c r="D107">
        <v>52709</v>
      </c>
      <c r="E107">
        <v>-2379976</v>
      </c>
      <c r="F107">
        <v>100</v>
      </c>
    </row>
    <row r="108" spans="1:6" x14ac:dyDescent="0.25">
      <c r="A108" t="s">
        <v>1655</v>
      </c>
      <c r="B108">
        <v>4883731</v>
      </c>
      <c r="C108">
        <v>-36082057</v>
      </c>
      <c r="D108">
        <v>52738</v>
      </c>
      <c r="E108">
        <v>-2766048</v>
      </c>
      <c r="F108">
        <v>100</v>
      </c>
    </row>
    <row r="109" spans="1:6" x14ac:dyDescent="0.25">
      <c r="A109" t="s">
        <v>1656</v>
      </c>
      <c r="B109">
        <v>5080279</v>
      </c>
      <c r="C109">
        <v>-36082057</v>
      </c>
      <c r="D109">
        <v>52834</v>
      </c>
      <c r="E109">
        <v>-3101507</v>
      </c>
      <c r="F109">
        <v>100</v>
      </c>
    </row>
    <row r="110" spans="1:6" x14ac:dyDescent="0.25">
      <c r="A110" t="s">
        <v>1657</v>
      </c>
      <c r="B110">
        <v>5035202</v>
      </c>
      <c r="C110">
        <v>-36082057</v>
      </c>
      <c r="D110">
        <v>53237</v>
      </c>
      <c r="E110">
        <v>-3338130</v>
      </c>
      <c r="F110">
        <v>100</v>
      </c>
    </row>
    <row r="111" spans="1:6" x14ac:dyDescent="0.25">
      <c r="A111" t="s">
        <v>1658</v>
      </c>
      <c r="B111">
        <v>5051844</v>
      </c>
      <c r="C111">
        <v>-36082057</v>
      </c>
      <c r="D111">
        <v>53971</v>
      </c>
      <c r="E111">
        <v>-3439474</v>
      </c>
      <c r="F111">
        <v>100</v>
      </c>
    </row>
    <row r="112" spans="1:6" x14ac:dyDescent="0.25">
      <c r="A112" t="s">
        <v>1659</v>
      </c>
      <c r="B112">
        <v>4242846</v>
      </c>
      <c r="C112">
        <v>-36082057</v>
      </c>
      <c r="D112">
        <v>53628</v>
      </c>
      <c r="E112">
        <v>-2210308</v>
      </c>
      <c r="F112">
        <v>100</v>
      </c>
    </row>
    <row r="113" spans="1:6" x14ac:dyDescent="0.25">
      <c r="A113" t="s">
        <v>1660</v>
      </c>
      <c r="B113">
        <v>4885834</v>
      </c>
      <c r="C113">
        <v>-36082057</v>
      </c>
      <c r="D113">
        <v>53872</v>
      </c>
      <c r="E113">
        <v>-3412177</v>
      </c>
      <c r="F113">
        <v>100</v>
      </c>
    </row>
    <row r="114" spans="1:6" x14ac:dyDescent="0.25">
      <c r="A114" t="s">
        <v>1661</v>
      </c>
      <c r="B114">
        <v>4020930</v>
      </c>
      <c r="C114">
        <v>-36082057</v>
      </c>
      <c r="D114">
        <v>53329</v>
      </c>
      <c r="E114">
        <v>-2175331</v>
      </c>
      <c r="F114">
        <v>100</v>
      </c>
    </row>
    <row r="115" spans="1:6" x14ac:dyDescent="0.25">
      <c r="A115" t="s">
        <v>1662</v>
      </c>
      <c r="B115">
        <v>4199231</v>
      </c>
      <c r="C115">
        <v>-36082057</v>
      </c>
      <c r="D115">
        <v>53146</v>
      </c>
      <c r="E115">
        <v>-2182431</v>
      </c>
      <c r="F115">
        <v>100</v>
      </c>
    </row>
    <row r="116" spans="1:6" x14ac:dyDescent="0.25">
      <c r="A116" t="s">
        <v>1663</v>
      </c>
      <c r="B116">
        <v>4703907</v>
      </c>
      <c r="C116">
        <v>-43156533</v>
      </c>
      <c r="D116">
        <v>61972</v>
      </c>
      <c r="E116">
        <v>-5546535</v>
      </c>
      <c r="F116">
        <v>100</v>
      </c>
    </row>
    <row r="117" spans="1:6" x14ac:dyDescent="0.25">
      <c r="A117" t="s">
        <v>1664</v>
      </c>
      <c r="B117">
        <v>4395731</v>
      </c>
      <c r="C117">
        <v>-43156533</v>
      </c>
      <c r="D117">
        <v>62330</v>
      </c>
      <c r="E117">
        <v>-5788748</v>
      </c>
      <c r="F117">
        <v>100</v>
      </c>
    </row>
    <row r="118" spans="1:6" x14ac:dyDescent="0.25">
      <c r="A118" t="s">
        <v>1665</v>
      </c>
      <c r="B118">
        <v>4967114</v>
      </c>
      <c r="C118">
        <v>-43156533</v>
      </c>
      <c r="D118">
        <v>62318</v>
      </c>
      <c r="E118">
        <v>-6452725</v>
      </c>
      <c r="F118">
        <v>100</v>
      </c>
    </row>
    <row r="119" spans="1:6" x14ac:dyDescent="0.25">
      <c r="A119" t="s">
        <v>1666</v>
      </c>
      <c r="B119">
        <v>5881809</v>
      </c>
      <c r="C119">
        <v>-43156533</v>
      </c>
      <c r="D119">
        <v>63013</v>
      </c>
      <c r="E119">
        <v>-8378861</v>
      </c>
      <c r="F119">
        <v>100</v>
      </c>
    </row>
    <row r="120" spans="1:6" x14ac:dyDescent="0.25">
      <c r="A120" t="s">
        <v>1667</v>
      </c>
      <c r="B120">
        <v>5590240</v>
      </c>
      <c r="C120">
        <v>-43156533</v>
      </c>
      <c r="D120">
        <v>62996</v>
      </c>
      <c r="E120">
        <v>-8076735</v>
      </c>
      <c r="F120">
        <v>100</v>
      </c>
    </row>
    <row r="121" spans="1:6" x14ac:dyDescent="0.25">
      <c r="A121" t="s">
        <v>1668</v>
      </c>
      <c r="B121">
        <v>5997146</v>
      </c>
      <c r="C121">
        <v>-43156533</v>
      </c>
      <c r="D121">
        <v>63686</v>
      </c>
      <c r="E121">
        <v>-8909266</v>
      </c>
      <c r="F121">
        <v>100</v>
      </c>
    </row>
    <row r="122" spans="1:6" x14ac:dyDescent="0.25">
      <c r="A122" t="s">
        <v>1669</v>
      </c>
      <c r="B122">
        <v>5796796</v>
      </c>
      <c r="C122">
        <v>-43156533</v>
      </c>
      <c r="D122">
        <v>63716</v>
      </c>
      <c r="E122">
        <v>-9126475</v>
      </c>
      <c r="F122">
        <v>100</v>
      </c>
    </row>
    <row r="123" spans="1:6" x14ac:dyDescent="0.25">
      <c r="A123" t="s">
        <v>1670</v>
      </c>
      <c r="B123">
        <v>6603513</v>
      </c>
      <c r="C123">
        <v>-43156533</v>
      </c>
      <c r="D123">
        <v>63740</v>
      </c>
      <c r="E123">
        <v>-10210822</v>
      </c>
      <c r="F123">
        <v>100</v>
      </c>
    </row>
    <row r="124" spans="1:6" x14ac:dyDescent="0.25">
      <c r="A124" t="s">
        <v>1671</v>
      </c>
      <c r="B124">
        <v>5781772</v>
      </c>
      <c r="C124">
        <v>-19712003</v>
      </c>
      <c r="D124">
        <v>44429</v>
      </c>
      <c r="E124">
        <v>-2006208</v>
      </c>
      <c r="F124">
        <v>100</v>
      </c>
    </row>
    <row r="125" spans="1:6" x14ac:dyDescent="0.25">
      <c r="A125" t="s">
        <v>1672</v>
      </c>
      <c r="B125">
        <v>7157206</v>
      </c>
      <c r="C125">
        <v>-43156533</v>
      </c>
      <c r="D125">
        <v>63882</v>
      </c>
      <c r="E125">
        <v>-10990978</v>
      </c>
      <c r="F125">
        <v>100</v>
      </c>
    </row>
    <row r="126" spans="1:6" x14ac:dyDescent="0.25">
      <c r="A126" t="s">
        <v>1673</v>
      </c>
      <c r="B126">
        <v>7744820</v>
      </c>
      <c r="C126">
        <v>-43156533</v>
      </c>
      <c r="D126">
        <v>63707</v>
      </c>
      <c r="E126">
        <v>-11757994</v>
      </c>
      <c r="F126">
        <v>100</v>
      </c>
    </row>
    <row r="127" spans="1:6" x14ac:dyDescent="0.25">
      <c r="A127" t="s">
        <v>1674</v>
      </c>
      <c r="B127">
        <v>7971483</v>
      </c>
      <c r="C127">
        <v>-43156533</v>
      </c>
      <c r="D127">
        <v>63874</v>
      </c>
      <c r="E127">
        <v>-11863931</v>
      </c>
      <c r="F127">
        <v>100</v>
      </c>
    </row>
    <row r="128" spans="1:6" x14ac:dyDescent="0.25">
      <c r="A128" t="s">
        <v>1675</v>
      </c>
      <c r="B128">
        <v>7241799</v>
      </c>
      <c r="C128">
        <v>-43156533</v>
      </c>
      <c r="D128">
        <v>63394</v>
      </c>
      <c r="E128">
        <v>-11120553</v>
      </c>
      <c r="F128">
        <v>100</v>
      </c>
    </row>
    <row r="129" spans="1:6" x14ac:dyDescent="0.25">
      <c r="A129" t="s">
        <v>1676</v>
      </c>
      <c r="B129">
        <v>6926427</v>
      </c>
      <c r="C129">
        <v>-43156533</v>
      </c>
      <c r="D129">
        <v>62965</v>
      </c>
      <c r="E129">
        <v>-10639003</v>
      </c>
      <c r="F129">
        <v>100</v>
      </c>
    </row>
    <row r="130" spans="1:6" x14ac:dyDescent="0.25">
      <c r="A130" t="s">
        <v>1677</v>
      </c>
      <c r="B130">
        <v>7568294</v>
      </c>
      <c r="C130">
        <v>-43156533</v>
      </c>
      <c r="D130">
        <v>63102</v>
      </c>
      <c r="E130">
        <v>-11463049</v>
      </c>
      <c r="F130">
        <v>100</v>
      </c>
    </row>
    <row r="131" spans="1:6" x14ac:dyDescent="0.25">
      <c r="A131" t="s">
        <v>1678</v>
      </c>
      <c r="B131">
        <v>7632542</v>
      </c>
      <c r="C131">
        <v>-43156533</v>
      </c>
      <c r="D131">
        <v>62761</v>
      </c>
      <c r="E131">
        <v>-11558572</v>
      </c>
      <c r="F131">
        <v>100</v>
      </c>
    </row>
    <row r="132" spans="1:6" x14ac:dyDescent="0.25">
      <c r="A132" t="s">
        <v>1679</v>
      </c>
      <c r="B132">
        <v>7291430</v>
      </c>
      <c r="C132">
        <v>-43156533</v>
      </c>
      <c r="D132">
        <v>62819</v>
      </c>
      <c r="E132">
        <v>-11117314</v>
      </c>
      <c r="F132">
        <v>100</v>
      </c>
    </row>
    <row r="133" spans="1:6" x14ac:dyDescent="0.25">
      <c r="A133" t="s">
        <v>1680</v>
      </c>
      <c r="B133">
        <v>7224931</v>
      </c>
      <c r="C133">
        <v>-43156533</v>
      </c>
      <c r="D133">
        <v>62588</v>
      </c>
      <c r="E133">
        <v>-10963520</v>
      </c>
      <c r="F133">
        <v>100</v>
      </c>
    </row>
    <row r="134" spans="1:6" x14ac:dyDescent="0.25">
      <c r="A134" t="s">
        <v>1681</v>
      </c>
      <c r="B134">
        <v>6646830</v>
      </c>
      <c r="C134">
        <v>-43156533</v>
      </c>
      <c r="D134">
        <v>61989</v>
      </c>
      <c r="E134">
        <v>-10243469</v>
      </c>
      <c r="F134">
        <v>100</v>
      </c>
    </row>
    <row r="135" spans="1:6" x14ac:dyDescent="0.25">
      <c r="A135" t="s">
        <v>1682</v>
      </c>
      <c r="B135">
        <v>6819460</v>
      </c>
      <c r="C135">
        <v>-43156533</v>
      </c>
      <c r="D135">
        <v>61757</v>
      </c>
      <c r="E135">
        <v>-10265003</v>
      </c>
      <c r="F135">
        <v>100</v>
      </c>
    </row>
    <row r="136" spans="1:6" x14ac:dyDescent="0.25">
      <c r="A136" t="s">
        <v>1683</v>
      </c>
      <c r="B136">
        <v>7250237</v>
      </c>
      <c r="C136">
        <v>-43156533</v>
      </c>
      <c r="D136">
        <v>61634</v>
      </c>
      <c r="E136">
        <v>-11004101</v>
      </c>
      <c r="F136">
        <v>100</v>
      </c>
    </row>
    <row r="137" spans="1:6" x14ac:dyDescent="0.25">
      <c r="A137" t="s">
        <v>1684</v>
      </c>
      <c r="B137">
        <v>7169525</v>
      </c>
      <c r="C137">
        <v>-43156533</v>
      </c>
      <c r="D137">
        <v>62090</v>
      </c>
      <c r="E137">
        <v>-11234861</v>
      </c>
      <c r="F137">
        <v>100</v>
      </c>
    </row>
    <row r="138" spans="1:6" x14ac:dyDescent="0.25">
      <c r="A138" t="s">
        <v>1685</v>
      </c>
      <c r="B138">
        <v>7404848</v>
      </c>
      <c r="C138">
        <v>-43156533</v>
      </c>
      <c r="D138">
        <v>62358</v>
      </c>
      <c r="E138">
        <v>-11664477</v>
      </c>
      <c r="F138">
        <v>100</v>
      </c>
    </row>
    <row r="139" spans="1:6" x14ac:dyDescent="0.25">
      <c r="A139" t="s">
        <v>1686</v>
      </c>
      <c r="B139">
        <v>7324630</v>
      </c>
      <c r="C139">
        <v>-43156533</v>
      </c>
      <c r="D139">
        <v>62524</v>
      </c>
      <c r="E139">
        <v>-11560537</v>
      </c>
      <c r="F139">
        <v>100</v>
      </c>
    </row>
    <row r="140" spans="1:6" x14ac:dyDescent="0.25">
      <c r="A140" t="s">
        <v>1687</v>
      </c>
      <c r="B140">
        <v>7784613</v>
      </c>
      <c r="C140">
        <v>-43156533</v>
      </c>
      <c r="D140">
        <v>62560</v>
      </c>
      <c r="E140">
        <v>-12299436</v>
      </c>
      <c r="F140">
        <v>100</v>
      </c>
    </row>
    <row r="141" spans="1:6" x14ac:dyDescent="0.25">
      <c r="A141" t="s">
        <v>1688</v>
      </c>
      <c r="B141">
        <v>7443158</v>
      </c>
      <c r="C141">
        <v>-43156533</v>
      </c>
      <c r="D141">
        <v>62779</v>
      </c>
      <c r="E141">
        <v>-12275030</v>
      </c>
      <c r="F141">
        <v>100</v>
      </c>
    </row>
    <row r="142" spans="1:6" x14ac:dyDescent="0.25">
      <c r="A142" t="s">
        <v>1689</v>
      </c>
      <c r="B142">
        <v>7520180</v>
      </c>
      <c r="C142">
        <v>-43156533</v>
      </c>
      <c r="D142">
        <v>62434</v>
      </c>
      <c r="E142">
        <v>-12332203</v>
      </c>
      <c r="F142">
        <v>100</v>
      </c>
    </row>
    <row r="143" spans="1:6" x14ac:dyDescent="0.25">
      <c r="A143" t="s">
        <v>1690</v>
      </c>
      <c r="B143">
        <v>7581982</v>
      </c>
      <c r="C143">
        <v>-43156533</v>
      </c>
      <c r="D143">
        <v>61512</v>
      </c>
      <c r="E143">
        <v>-12133930</v>
      </c>
      <c r="F143">
        <v>100</v>
      </c>
    </row>
    <row r="144" spans="1:6" x14ac:dyDescent="0.25">
      <c r="A144" t="s">
        <v>1691</v>
      </c>
      <c r="B144">
        <v>7244781</v>
      </c>
      <c r="C144">
        <v>-43156533</v>
      </c>
      <c r="D144">
        <v>60492</v>
      </c>
      <c r="E144">
        <v>-11496655</v>
      </c>
      <c r="F144">
        <v>100</v>
      </c>
    </row>
    <row r="145" spans="1:6" x14ac:dyDescent="0.25">
      <c r="A145" t="s">
        <v>1692</v>
      </c>
      <c r="B145">
        <v>7089957</v>
      </c>
      <c r="C145">
        <v>-43156533</v>
      </c>
      <c r="D145">
        <v>60083</v>
      </c>
      <c r="E145">
        <v>-11145133</v>
      </c>
      <c r="F145">
        <v>100</v>
      </c>
    </row>
    <row r="146" spans="1:6" x14ac:dyDescent="0.25">
      <c r="A146" t="s">
        <v>1693</v>
      </c>
      <c r="B146">
        <v>7138513</v>
      </c>
      <c r="C146">
        <v>-43156533</v>
      </c>
      <c r="D146">
        <v>59735</v>
      </c>
      <c r="E146">
        <v>-11008166</v>
      </c>
      <c r="F146">
        <v>100</v>
      </c>
    </row>
    <row r="147" spans="1:6" x14ac:dyDescent="0.25">
      <c r="A147" t="s">
        <v>1694</v>
      </c>
      <c r="B147">
        <v>5868950</v>
      </c>
      <c r="C147">
        <v>-48065264</v>
      </c>
      <c r="D147">
        <v>138224</v>
      </c>
      <c r="E147">
        <v>-10054109</v>
      </c>
      <c r="F147">
        <v>100</v>
      </c>
    </row>
    <row r="148" spans="1:6" x14ac:dyDescent="0.25">
      <c r="A148" t="s">
        <v>1695</v>
      </c>
      <c r="B148">
        <v>5423947</v>
      </c>
      <c r="C148">
        <v>-23008719</v>
      </c>
      <c r="D148">
        <v>122637</v>
      </c>
      <c r="E148">
        <v>-1049966</v>
      </c>
      <c r="F148">
        <v>100</v>
      </c>
    </row>
    <row r="149" spans="1:6" x14ac:dyDescent="0.25">
      <c r="A149" t="s">
        <v>1696</v>
      </c>
      <c r="B149">
        <v>6886899</v>
      </c>
      <c r="C149">
        <v>-48065264</v>
      </c>
      <c r="D149">
        <v>137940</v>
      </c>
      <c r="E149">
        <v>-11621870</v>
      </c>
      <c r="F149">
        <v>100</v>
      </c>
    </row>
    <row r="150" spans="1:6" x14ac:dyDescent="0.25">
      <c r="A150" t="s">
        <v>1697</v>
      </c>
      <c r="B150">
        <v>6835093</v>
      </c>
      <c r="C150">
        <v>-48065264</v>
      </c>
      <c r="D150">
        <v>138427</v>
      </c>
      <c r="E150">
        <v>-11870516</v>
      </c>
      <c r="F150">
        <v>100</v>
      </c>
    </row>
    <row r="151" spans="1:6" x14ac:dyDescent="0.25">
      <c r="A151" t="s">
        <v>1698</v>
      </c>
      <c r="B151">
        <v>6583819</v>
      </c>
      <c r="C151">
        <v>-48065264</v>
      </c>
      <c r="D151">
        <v>138288</v>
      </c>
      <c r="E151">
        <v>-11938405</v>
      </c>
      <c r="F151">
        <v>100</v>
      </c>
    </row>
    <row r="152" spans="1:6" x14ac:dyDescent="0.25">
      <c r="A152" t="s">
        <v>1699</v>
      </c>
      <c r="B152">
        <v>6989953</v>
      </c>
      <c r="C152">
        <v>-48065264</v>
      </c>
      <c r="D152">
        <v>138513</v>
      </c>
      <c r="E152">
        <v>-12782137</v>
      </c>
      <c r="F152">
        <v>100</v>
      </c>
    </row>
    <row r="153" spans="1:6" x14ac:dyDescent="0.25">
      <c r="A153" t="s">
        <v>1700</v>
      </c>
      <c r="B153">
        <v>6857248</v>
      </c>
      <c r="C153">
        <v>-48065264</v>
      </c>
      <c r="D153">
        <v>137645</v>
      </c>
      <c r="E153">
        <v>-12556055</v>
      </c>
      <c r="F153">
        <v>100</v>
      </c>
    </row>
    <row r="154" spans="1:6" x14ac:dyDescent="0.25">
      <c r="A154" t="s">
        <v>1701</v>
      </c>
      <c r="B154">
        <v>7543363</v>
      </c>
      <c r="C154">
        <v>-48065264</v>
      </c>
      <c r="D154">
        <v>138136</v>
      </c>
      <c r="E154">
        <v>-13646597</v>
      </c>
      <c r="F154">
        <v>100</v>
      </c>
    </row>
    <row r="155" spans="1:6" x14ac:dyDescent="0.25">
      <c r="A155" t="s">
        <v>1702</v>
      </c>
      <c r="B155">
        <v>7832149</v>
      </c>
      <c r="C155">
        <v>-48065264</v>
      </c>
      <c r="D155">
        <v>138617</v>
      </c>
      <c r="E155">
        <v>-14378286</v>
      </c>
      <c r="F155">
        <v>100</v>
      </c>
    </row>
    <row r="156" spans="1:6" x14ac:dyDescent="0.25">
      <c r="A156" t="s">
        <v>1703</v>
      </c>
      <c r="B156">
        <v>7573721</v>
      </c>
      <c r="C156">
        <v>-48065264</v>
      </c>
      <c r="D156">
        <v>137962</v>
      </c>
      <c r="E156">
        <v>-13943104</v>
      </c>
      <c r="F156">
        <v>100</v>
      </c>
    </row>
    <row r="157" spans="1:6" x14ac:dyDescent="0.25">
      <c r="A157" t="s">
        <v>1704</v>
      </c>
      <c r="B157">
        <v>7416204</v>
      </c>
      <c r="C157">
        <v>-48065264</v>
      </c>
      <c r="D157">
        <v>138347</v>
      </c>
      <c r="E157">
        <v>-14134794</v>
      </c>
      <c r="F157">
        <v>100</v>
      </c>
    </row>
    <row r="158" spans="1:6" x14ac:dyDescent="0.25">
      <c r="A158" t="s">
        <v>1705</v>
      </c>
      <c r="B158">
        <v>7479072</v>
      </c>
      <c r="C158">
        <v>-48065264</v>
      </c>
      <c r="D158">
        <v>137596</v>
      </c>
      <c r="E158">
        <v>-14149651</v>
      </c>
      <c r="F158">
        <v>100</v>
      </c>
    </row>
    <row r="159" spans="1:6" x14ac:dyDescent="0.25">
      <c r="A159" t="s">
        <v>1706</v>
      </c>
      <c r="B159">
        <v>7089404</v>
      </c>
      <c r="C159">
        <v>-48065264</v>
      </c>
      <c r="D159">
        <v>137573</v>
      </c>
      <c r="E159">
        <v>-13819947</v>
      </c>
      <c r="F159">
        <v>100</v>
      </c>
    </row>
    <row r="160" spans="1:6" x14ac:dyDescent="0.25">
      <c r="A160" t="s">
        <v>1707</v>
      </c>
      <c r="B160">
        <v>7139253</v>
      </c>
      <c r="C160">
        <v>-48065264</v>
      </c>
      <c r="D160">
        <v>137384</v>
      </c>
      <c r="E160">
        <v>-13536882</v>
      </c>
      <c r="F160">
        <v>100</v>
      </c>
    </row>
    <row r="161" spans="1:6" x14ac:dyDescent="0.25">
      <c r="A161" t="s">
        <v>1708</v>
      </c>
      <c r="B161">
        <v>6957819</v>
      </c>
      <c r="C161">
        <v>-48065264</v>
      </c>
      <c r="D161">
        <v>136838</v>
      </c>
      <c r="E161">
        <v>-13048530</v>
      </c>
      <c r="F161">
        <v>100</v>
      </c>
    </row>
    <row r="162" spans="1:6" x14ac:dyDescent="0.25">
      <c r="A162" t="s">
        <v>1709</v>
      </c>
      <c r="B162">
        <v>8262338</v>
      </c>
      <c r="C162">
        <v>-48065264</v>
      </c>
      <c r="D162">
        <v>137707</v>
      </c>
      <c r="E162">
        <v>-15237971</v>
      </c>
      <c r="F162">
        <v>100</v>
      </c>
    </row>
    <row r="163" spans="1:6" x14ac:dyDescent="0.25">
      <c r="A163" t="s">
        <v>1710</v>
      </c>
      <c r="B163">
        <v>8037948</v>
      </c>
      <c r="C163">
        <v>-48065264</v>
      </c>
      <c r="D163">
        <v>137144</v>
      </c>
      <c r="E163">
        <v>-15068831</v>
      </c>
      <c r="F163">
        <v>100</v>
      </c>
    </row>
    <row r="164" spans="1:6" x14ac:dyDescent="0.25">
      <c r="A164" t="s">
        <v>1711</v>
      </c>
      <c r="B164">
        <v>8627563</v>
      </c>
      <c r="C164">
        <v>-48065264</v>
      </c>
      <c r="D164">
        <v>136702</v>
      </c>
      <c r="E164">
        <v>-15121985</v>
      </c>
      <c r="F164">
        <v>100</v>
      </c>
    </row>
    <row r="165" spans="1:6" x14ac:dyDescent="0.25">
      <c r="A165" t="s">
        <v>1712</v>
      </c>
      <c r="B165">
        <v>8778556</v>
      </c>
      <c r="C165">
        <v>-48065264</v>
      </c>
      <c r="D165">
        <v>136022</v>
      </c>
      <c r="E165">
        <v>-14612036</v>
      </c>
      <c r="F165">
        <v>100</v>
      </c>
    </row>
    <row r="166" spans="1:6" x14ac:dyDescent="0.25">
      <c r="A166" t="s">
        <v>1713</v>
      </c>
      <c r="B166">
        <v>8280989</v>
      </c>
      <c r="C166">
        <v>-48065264</v>
      </c>
      <c r="D166">
        <v>136661</v>
      </c>
      <c r="E166">
        <v>-14956761</v>
      </c>
      <c r="F166">
        <v>100</v>
      </c>
    </row>
    <row r="167" spans="1:6" x14ac:dyDescent="0.25">
      <c r="A167" t="s">
        <v>1714</v>
      </c>
      <c r="B167">
        <v>8145689</v>
      </c>
      <c r="C167">
        <v>-48065264</v>
      </c>
      <c r="D167">
        <v>136883</v>
      </c>
      <c r="E167">
        <v>-14598393</v>
      </c>
      <c r="F167">
        <v>100</v>
      </c>
    </row>
    <row r="168" spans="1:6" x14ac:dyDescent="0.25">
      <c r="A168" t="s">
        <v>1715</v>
      </c>
      <c r="B168">
        <v>5857824</v>
      </c>
      <c r="C168">
        <v>-26586220</v>
      </c>
      <c r="D168">
        <v>127308</v>
      </c>
      <c r="E168">
        <v>3785961</v>
      </c>
      <c r="F168">
        <v>155</v>
      </c>
    </row>
    <row r="169" spans="1:6" x14ac:dyDescent="0.25">
      <c r="A169" t="s">
        <v>1716</v>
      </c>
      <c r="B169">
        <v>8746780</v>
      </c>
      <c r="C169">
        <v>-51642765</v>
      </c>
      <c r="D169">
        <v>142036</v>
      </c>
      <c r="E169">
        <v>-7934432</v>
      </c>
      <c r="F169">
        <v>100</v>
      </c>
    </row>
    <row r="170" spans="1:6" x14ac:dyDescent="0.25">
      <c r="A170" t="s">
        <v>1717</v>
      </c>
      <c r="B170">
        <v>8161950</v>
      </c>
      <c r="C170">
        <v>-51642765</v>
      </c>
      <c r="D170">
        <v>141939</v>
      </c>
      <c r="E170">
        <v>-8152635</v>
      </c>
      <c r="F170">
        <v>100</v>
      </c>
    </row>
    <row r="171" spans="1:6" x14ac:dyDescent="0.25">
      <c r="A171" t="s">
        <v>1718</v>
      </c>
      <c r="B171">
        <v>8875871</v>
      </c>
      <c r="C171">
        <v>-51642765</v>
      </c>
      <c r="D171">
        <v>141477</v>
      </c>
      <c r="E171">
        <v>-9387263</v>
      </c>
      <c r="F171">
        <v>100</v>
      </c>
    </row>
    <row r="172" spans="1:6" x14ac:dyDescent="0.25">
      <c r="A172" t="s">
        <v>1719</v>
      </c>
      <c r="B172">
        <v>8478588</v>
      </c>
      <c r="C172">
        <v>-51642765</v>
      </c>
      <c r="D172">
        <v>142647</v>
      </c>
      <c r="E172">
        <v>-9391625</v>
      </c>
      <c r="F172">
        <v>100</v>
      </c>
    </row>
    <row r="173" spans="1:6" x14ac:dyDescent="0.25">
      <c r="A173" t="s">
        <v>1720</v>
      </c>
      <c r="B173">
        <v>8107723</v>
      </c>
      <c r="C173">
        <v>-51642765</v>
      </c>
      <c r="D173">
        <v>142445</v>
      </c>
      <c r="E173">
        <v>-9518096</v>
      </c>
      <c r="F173">
        <v>100</v>
      </c>
    </row>
    <row r="174" spans="1:6" x14ac:dyDescent="0.25">
      <c r="A174" t="s">
        <v>1721</v>
      </c>
      <c r="B174">
        <v>8061647</v>
      </c>
      <c r="C174">
        <v>-51642765</v>
      </c>
      <c r="D174">
        <v>142174</v>
      </c>
      <c r="E174">
        <v>-9480782</v>
      </c>
      <c r="F174">
        <v>100</v>
      </c>
    </row>
    <row r="175" spans="1:6" x14ac:dyDescent="0.25">
      <c r="A175" t="s">
        <v>1722</v>
      </c>
      <c r="B175">
        <v>8458827</v>
      </c>
      <c r="C175">
        <v>-51642765</v>
      </c>
      <c r="D175">
        <v>142019</v>
      </c>
      <c r="E175">
        <v>-10213191</v>
      </c>
      <c r="F175">
        <v>100</v>
      </c>
    </row>
    <row r="176" spans="1:6" x14ac:dyDescent="0.25">
      <c r="A176" t="s">
        <v>1723</v>
      </c>
      <c r="B176">
        <v>8978080</v>
      </c>
      <c r="C176">
        <v>-51642765</v>
      </c>
      <c r="D176">
        <v>141924</v>
      </c>
      <c r="E176">
        <v>-11592762</v>
      </c>
      <c r="F176">
        <v>100</v>
      </c>
    </row>
    <row r="177" spans="1:6" x14ac:dyDescent="0.25">
      <c r="A177" t="s">
        <v>1724</v>
      </c>
      <c r="B177">
        <v>8809189</v>
      </c>
      <c r="C177">
        <v>-51642765</v>
      </c>
      <c r="D177">
        <v>141808</v>
      </c>
      <c r="E177">
        <v>-11509747</v>
      </c>
      <c r="F177">
        <v>100</v>
      </c>
    </row>
    <row r="178" spans="1:6" x14ac:dyDescent="0.25">
      <c r="A178" t="s">
        <v>1725</v>
      </c>
      <c r="B178">
        <v>9350107</v>
      </c>
      <c r="C178">
        <v>-51642765</v>
      </c>
      <c r="D178">
        <v>141883</v>
      </c>
      <c r="E178">
        <v>-12666200</v>
      </c>
      <c r="F178">
        <v>100</v>
      </c>
    </row>
    <row r="179" spans="1:6" x14ac:dyDescent="0.25">
      <c r="A179" t="s">
        <v>1726</v>
      </c>
      <c r="B179">
        <v>9543751</v>
      </c>
      <c r="C179">
        <v>-51642765</v>
      </c>
      <c r="D179">
        <v>142922</v>
      </c>
      <c r="E179">
        <v>-12932236</v>
      </c>
      <c r="F179">
        <v>100</v>
      </c>
    </row>
    <row r="180" spans="1:6" x14ac:dyDescent="0.25">
      <c r="A180" t="s">
        <v>1727</v>
      </c>
      <c r="B180">
        <v>9009962</v>
      </c>
      <c r="C180">
        <v>-51642765</v>
      </c>
      <c r="D180">
        <v>142797</v>
      </c>
      <c r="E180">
        <v>-12470365</v>
      </c>
      <c r="F180">
        <v>100</v>
      </c>
    </row>
    <row r="181" spans="1:6" x14ac:dyDescent="0.25">
      <c r="A181" t="s">
        <v>1728</v>
      </c>
      <c r="B181">
        <v>9809573</v>
      </c>
      <c r="C181">
        <v>-51642765</v>
      </c>
      <c r="D181">
        <v>141792</v>
      </c>
      <c r="E181">
        <v>-13363555</v>
      </c>
      <c r="F181">
        <v>100</v>
      </c>
    </row>
    <row r="182" spans="1:6" x14ac:dyDescent="0.25">
      <c r="A182" t="s">
        <v>1729</v>
      </c>
      <c r="B182">
        <v>9703540</v>
      </c>
      <c r="C182">
        <v>-51642765</v>
      </c>
      <c r="D182">
        <v>141470</v>
      </c>
      <c r="E182">
        <v>-13140744</v>
      </c>
      <c r="F182">
        <v>100</v>
      </c>
    </row>
    <row r="183" spans="1:6" x14ac:dyDescent="0.25">
      <c r="A183" t="s">
        <v>1730</v>
      </c>
      <c r="B183">
        <v>9811420</v>
      </c>
      <c r="C183">
        <v>-51642765</v>
      </c>
      <c r="D183">
        <v>141332</v>
      </c>
      <c r="E183">
        <v>-13480400</v>
      </c>
      <c r="F183">
        <v>100</v>
      </c>
    </row>
    <row r="184" spans="1:6" x14ac:dyDescent="0.25">
      <c r="A184" t="s">
        <v>1731</v>
      </c>
      <c r="B184">
        <v>9244140</v>
      </c>
      <c r="C184">
        <v>-51642765</v>
      </c>
      <c r="D184">
        <v>141520</v>
      </c>
      <c r="E184">
        <v>-13358930</v>
      </c>
      <c r="F184">
        <v>100</v>
      </c>
    </row>
    <row r="185" spans="1:6" x14ac:dyDescent="0.25">
      <c r="A185" t="s">
        <v>1732</v>
      </c>
      <c r="B185">
        <v>9199786</v>
      </c>
      <c r="C185">
        <v>-51642765</v>
      </c>
      <c r="D185">
        <v>140776</v>
      </c>
      <c r="E185">
        <v>-12962895</v>
      </c>
      <c r="F185">
        <v>100</v>
      </c>
    </row>
    <row r="186" spans="1:6" x14ac:dyDescent="0.25">
      <c r="A186" t="s">
        <v>1733</v>
      </c>
      <c r="B186">
        <v>9002152</v>
      </c>
      <c r="C186">
        <v>-56247851</v>
      </c>
      <c r="D186">
        <v>148263</v>
      </c>
      <c r="E186">
        <v>-15881738</v>
      </c>
      <c r="F186">
        <v>100</v>
      </c>
    </row>
    <row r="187" spans="1:6" x14ac:dyDescent="0.25">
      <c r="A187" t="s">
        <v>1734</v>
      </c>
      <c r="B187">
        <v>9535796</v>
      </c>
      <c r="C187">
        <v>-56247851</v>
      </c>
      <c r="D187">
        <v>148333</v>
      </c>
      <c r="E187">
        <v>-16813314</v>
      </c>
      <c r="F187">
        <v>100</v>
      </c>
    </row>
    <row r="188" spans="1:6" x14ac:dyDescent="0.25">
      <c r="A188" t="s">
        <v>1735</v>
      </c>
      <c r="B188">
        <v>10184313</v>
      </c>
      <c r="C188">
        <v>-56247851</v>
      </c>
      <c r="D188">
        <v>148449</v>
      </c>
      <c r="E188">
        <v>-18086953</v>
      </c>
      <c r="F188">
        <v>100</v>
      </c>
    </row>
    <row r="189" spans="1:6" x14ac:dyDescent="0.25">
      <c r="A189" t="s">
        <v>1736</v>
      </c>
      <c r="B189">
        <v>7289731</v>
      </c>
      <c r="C189">
        <v>-31191306</v>
      </c>
      <c r="D189">
        <v>133612</v>
      </c>
      <c r="E189">
        <v>-4727531</v>
      </c>
      <c r="F189">
        <v>100</v>
      </c>
    </row>
    <row r="190" spans="1:6" x14ac:dyDescent="0.25">
      <c r="A190" t="s">
        <v>1737</v>
      </c>
      <c r="B190">
        <v>9910656</v>
      </c>
      <c r="C190">
        <v>-56247851</v>
      </c>
      <c r="D190">
        <v>148409</v>
      </c>
      <c r="E190">
        <v>-18339990</v>
      </c>
      <c r="F190">
        <v>100</v>
      </c>
    </row>
    <row r="191" spans="1:6" x14ac:dyDescent="0.25">
      <c r="A191" t="s">
        <v>1738</v>
      </c>
      <c r="B191">
        <v>9778306</v>
      </c>
      <c r="C191">
        <v>-56247851</v>
      </c>
      <c r="D191">
        <v>147935</v>
      </c>
      <c r="E191">
        <v>-18335868</v>
      </c>
      <c r="F191">
        <v>100</v>
      </c>
    </row>
    <row r="192" spans="1:6" x14ac:dyDescent="0.25">
      <c r="A192" t="s">
        <v>1739</v>
      </c>
      <c r="B192">
        <v>9931899</v>
      </c>
      <c r="C192">
        <v>-56247851</v>
      </c>
      <c r="D192">
        <v>148137</v>
      </c>
      <c r="E192">
        <v>-18521493</v>
      </c>
      <c r="F192">
        <v>100</v>
      </c>
    </row>
    <row r="193" spans="1:6" x14ac:dyDescent="0.25">
      <c r="A193" t="s">
        <v>1740</v>
      </c>
      <c r="B193">
        <v>10961955</v>
      </c>
      <c r="C193">
        <v>-56247851</v>
      </c>
      <c r="D193">
        <v>147535</v>
      </c>
      <c r="E193">
        <v>-19381365</v>
      </c>
      <c r="F193">
        <v>100</v>
      </c>
    </row>
    <row r="194" spans="1:6" x14ac:dyDescent="0.25">
      <c r="A194" t="s">
        <v>1741</v>
      </c>
      <c r="B194">
        <v>11056333</v>
      </c>
      <c r="C194">
        <v>-56247851</v>
      </c>
      <c r="D194">
        <v>146819</v>
      </c>
      <c r="E194">
        <v>-18861643</v>
      </c>
      <c r="F194">
        <v>100</v>
      </c>
    </row>
    <row r="195" spans="1:6" x14ac:dyDescent="0.25">
      <c r="A195" t="s">
        <v>1742</v>
      </c>
      <c r="B195">
        <v>10807157</v>
      </c>
      <c r="C195">
        <v>-56247851</v>
      </c>
      <c r="D195">
        <v>146208</v>
      </c>
      <c r="E195">
        <v>-18427176</v>
      </c>
      <c r="F195">
        <v>100</v>
      </c>
    </row>
    <row r="196" spans="1:6" x14ac:dyDescent="0.25">
      <c r="A196" t="s">
        <v>1743</v>
      </c>
      <c r="B196">
        <v>11163630</v>
      </c>
      <c r="C196">
        <v>-56247851</v>
      </c>
      <c r="D196">
        <v>145638</v>
      </c>
      <c r="E196">
        <v>-17996838</v>
      </c>
      <c r="F196">
        <v>100</v>
      </c>
    </row>
    <row r="197" spans="1:6" x14ac:dyDescent="0.25">
      <c r="A197" t="s">
        <v>1744</v>
      </c>
      <c r="B197">
        <v>10065464</v>
      </c>
      <c r="C197">
        <v>-58461169</v>
      </c>
      <c r="D197">
        <v>139334</v>
      </c>
      <c r="E197">
        <v>-9828132</v>
      </c>
      <c r="F197">
        <v>100</v>
      </c>
    </row>
    <row r="198" spans="1:6" x14ac:dyDescent="0.25">
      <c r="A198" t="s">
        <v>1745</v>
      </c>
      <c r="B198">
        <v>7219239</v>
      </c>
      <c r="C198">
        <v>-31191306</v>
      </c>
      <c r="D198">
        <v>131093</v>
      </c>
      <c r="E198">
        <v>-3061043</v>
      </c>
      <c r="F198">
        <v>100</v>
      </c>
    </row>
    <row r="199" spans="1:6" x14ac:dyDescent="0.25">
      <c r="A199" t="s">
        <v>1746</v>
      </c>
      <c r="B199">
        <v>7690266</v>
      </c>
      <c r="C199">
        <v>-31191306</v>
      </c>
      <c r="D199">
        <v>131060</v>
      </c>
      <c r="E199">
        <v>-3139497</v>
      </c>
      <c r="F199">
        <v>100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9"/>
  <sheetViews>
    <sheetView workbookViewId="0">
      <selection activeCell="L21" sqref="L21"/>
    </sheetView>
  </sheetViews>
  <sheetFormatPr defaultRowHeight="15" x14ac:dyDescent="0.25"/>
  <sheetData>
    <row r="1" spans="1:5" x14ac:dyDescent="0.25">
      <c r="A1" s="1" t="s">
        <v>1545</v>
      </c>
      <c r="B1" s="1" t="s">
        <v>1546</v>
      </c>
      <c r="C1" s="1" t="s">
        <v>1547</v>
      </c>
      <c r="D1" s="1" t="s">
        <v>167</v>
      </c>
      <c r="E1" s="1" t="s">
        <v>22</v>
      </c>
    </row>
    <row r="2" spans="1:5" x14ac:dyDescent="0.25">
      <c r="A2" t="s">
        <v>1549</v>
      </c>
      <c r="B2">
        <v>7007</v>
      </c>
      <c r="C2">
        <v>-7616587</v>
      </c>
      <c r="D2">
        <v>1939</v>
      </c>
      <c r="E2">
        <v>-1085643</v>
      </c>
    </row>
    <row r="3" spans="1:5" x14ac:dyDescent="0.25">
      <c r="A3" t="s">
        <v>1550</v>
      </c>
      <c r="B3">
        <v>-18433</v>
      </c>
      <c r="C3">
        <v>-7616587</v>
      </c>
      <c r="D3">
        <v>1861</v>
      </c>
      <c r="E3">
        <v>-1004909</v>
      </c>
    </row>
    <row r="4" spans="1:5" x14ac:dyDescent="0.25">
      <c r="A4" t="s">
        <v>1551</v>
      </c>
      <c r="B4">
        <v>73519</v>
      </c>
      <c r="C4">
        <v>-7616587</v>
      </c>
      <c r="D4">
        <v>1988</v>
      </c>
      <c r="E4">
        <v>-1184367</v>
      </c>
    </row>
    <row r="5" spans="1:5" x14ac:dyDescent="0.25">
      <c r="A5" t="s">
        <v>1552</v>
      </c>
      <c r="B5">
        <v>420686</v>
      </c>
      <c r="C5">
        <v>-7616587</v>
      </c>
      <c r="D5">
        <v>2000</v>
      </c>
      <c r="E5">
        <v>-1614582</v>
      </c>
    </row>
    <row r="6" spans="1:5" x14ac:dyDescent="0.25">
      <c r="A6" t="s">
        <v>1553</v>
      </c>
      <c r="B6">
        <v>430706</v>
      </c>
      <c r="C6">
        <v>-2382429</v>
      </c>
      <c r="D6">
        <v>4289</v>
      </c>
      <c r="E6">
        <v>-1842153</v>
      </c>
    </row>
    <row r="7" spans="1:5" x14ac:dyDescent="0.25">
      <c r="A7" t="s">
        <v>1554</v>
      </c>
      <c r="B7">
        <v>432448</v>
      </c>
      <c r="C7">
        <v>-2382429</v>
      </c>
      <c r="D7">
        <v>4285</v>
      </c>
      <c r="E7">
        <v>-1847475</v>
      </c>
    </row>
    <row r="8" spans="1:5" x14ac:dyDescent="0.25">
      <c r="A8" t="s">
        <v>1555</v>
      </c>
      <c r="B8">
        <v>428930</v>
      </c>
      <c r="C8">
        <v>-2382429</v>
      </c>
      <c r="D8">
        <v>4221</v>
      </c>
      <c r="E8">
        <v>-1850743</v>
      </c>
    </row>
    <row r="9" spans="1:5" x14ac:dyDescent="0.25">
      <c r="A9" t="s">
        <v>1556</v>
      </c>
      <c r="B9">
        <v>427582</v>
      </c>
      <c r="C9">
        <v>-2382429</v>
      </c>
      <c r="D9">
        <v>4218</v>
      </c>
      <c r="E9">
        <v>-1852870</v>
      </c>
    </row>
    <row r="10" spans="1:5" x14ac:dyDescent="0.25">
      <c r="A10" t="s">
        <v>1557</v>
      </c>
      <c r="B10">
        <v>434384</v>
      </c>
      <c r="C10">
        <v>-2382429</v>
      </c>
      <c r="D10">
        <v>4205</v>
      </c>
      <c r="E10">
        <v>-1858339</v>
      </c>
    </row>
    <row r="11" spans="1:5" x14ac:dyDescent="0.25">
      <c r="A11" t="s">
        <v>1558</v>
      </c>
      <c r="B11">
        <v>430903</v>
      </c>
      <c r="C11">
        <v>-2382429</v>
      </c>
      <c r="D11">
        <v>4214</v>
      </c>
      <c r="E11">
        <v>-1858992</v>
      </c>
    </row>
    <row r="12" spans="1:5" x14ac:dyDescent="0.25">
      <c r="A12" t="s">
        <v>1559</v>
      </c>
      <c r="B12">
        <v>435480</v>
      </c>
      <c r="C12">
        <v>-2382429</v>
      </c>
      <c r="D12">
        <v>4146</v>
      </c>
      <c r="E12">
        <v>-1860714</v>
      </c>
    </row>
    <row r="13" spans="1:5" x14ac:dyDescent="0.25">
      <c r="A13" t="s">
        <v>1560</v>
      </c>
      <c r="B13">
        <v>438673</v>
      </c>
      <c r="C13">
        <v>-2382429</v>
      </c>
      <c r="D13">
        <v>4147</v>
      </c>
      <c r="E13">
        <v>-1856938</v>
      </c>
    </row>
    <row r="14" spans="1:5" x14ac:dyDescent="0.25">
      <c r="A14" t="s">
        <v>1561</v>
      </c>
      <c r="B14">
        <v>440218</v>
      </c>
      <c r="C14">
        <v>-2382429</v>
      </c>
      <c r="D14">
        <v>4183</v>
      </c>
      <c r="E14">
        <v>-1861878</v>
      </c>
    </row>
    <row r="15" spans="1:5" x14ac:dyDescent="0.25">
      <c r="A15" t="s">
        <v>1562</v>
      </c>
      <c r="B15">
        <v>444208</v>
      </c>
      <c r="C15">
        <v>-2382429</v>
      </c>
      <c r="D15">
        <v>4182</v>
      </c>
      <c r="E15">
        <v>-1865017</v>
      </c>
    </row>
    <row r="16" spans="1:5" x14ac:dyDescent="0.25">
      <c r="A16" t="s">
        <v>1563</v>
      </c>
      <c r="B16">
        <v>444208</v>
      </c>
      <c r="C16">
        <v>0</v>
      </c>
      <c r="D16">
        <v>0</v>
      </c>
      <c r="E16">
        <v>0</v>
      </c>
    </row>
    <row r="17" spans="1:5" x14ac:dyDescent="0.25">
      <c r="A17" t="s">
        <v>1564</v>
      </c>
      <c r="B17">
        <v>444208</v>
      </c>
      <c r="C17">
        <v>0</v>
      </c>
      <c r="D17">
        <v>0</v>
      </c>
      <c r="E17">
        <v>0</v>
      </c>
    </row>
    <row r="18" spans="1:5" x14ac:dyDescent="0.25">
      <c r="A18" t="s">
        <v>1565</v>
      </c>
      <c r="B18">
        <v>444208</v>
      </c>
      <c r="C18">
        <v>0</v>
      </c>
      <c r="D18">
        <v>0</v>
      </c>
      <c r="E18">
        <v>0</v>
      </c>
    </row>
    <row r="19" spans="1:5" x14ac:dyDescent="0.25">
      <c r="A19" t="s">
        <v>1566</v>
      </c>
      <c r="B19">
        <v>444208</v>
      </c>
      <c r="C19">
        <v>0</v>
      </c>
      <c r="D19">
        <v>0</v>
      </c>
      <c r="E19">
        <v>0</v>
      </c>
    </row>
    <row r="20" spans="1:5" x14ac:dyDescent="0.25">
      <c r="A20" t="s">
        <v>1567</v>
      </c>
      <c r="B20">
        <v>444208</v>
      </c>
      <c r="C20">
        <v>0</v>
      </c>
      <c r="D20">
        <v>0</v>
      </c>
      <c r="E20">
        <v>0</v>
      </c>
    </row>
    <row r="21" spans="1:5" x14ac:dyDescent="0.25">
      <c r="A21" t="s">
        <v>1568</v>
      </c>
      <c r="B21">
        <v>444208</v>
      </c>
      <c r="C21">
        <v>0</v>
      </c>
      <c r="D21">
        <v>0</v>
      </c>
      <c r="E21">
        <v>0</v>
      </c>
    </row>
    <row r="22" spans="1:5" x14ac:dyDescent="0.25">
      <c r="A22" t="s">
        <v>1569</v>
      </c>
      <c r="B22">
        <v>444208</v>
      </c>
      <c r="C22">
        <v>0</v>
      </c>
      <c r="D22">
        <v>0</v>
      </c>
      <c r="E22">
        <v>0</v>
      </c>
    </row>
    <row r="23" spans="1:5" x14ac:dyDescent="0.25">
      <c r="A23" t="s">
        <v>1570</v>
      </c>
      <c r="B23">
        <v>444208</v>
      </c>
      <c r="C23">
        <v>0</v>
      </c>
      <c r="D23">
        <v>0</v>
      </c>
      <c r="E23">
        <v>0</v>
      </c>
    </row>
    <row r="24" spans="1:5" x14ac:dyDescent="0.25">
      <c r="A24" t="s">
        <v>1571</v>
      </c>
      <c r="B24">
        <v>444208</v>
      </c>
      <c r="C24">
        <v>0</v>
      </c>
      <c r="D24">
        <v>0</v>
      </c>
      <c r="E24">
        <v>0</v>
      </c>
    </row>
    <row r="25" spans="1:5" x14ac:dyDescent="0.25">
      <c r="A25" t="s">
        <v>1572</v>
      </c>
      <c r="B25">
        <v>444208</v>
      </c>
      <c r="C25">
        <v>0</v>
      </c>
      <c r="D25">
        <v>0</v>
      </c>
      <c r="E25">
        <v>0</v>
      </c>
    </row>
    <row r="26" spans="1:5" x14ac:dyDescent="0.25">
      <c r="A26" t="s">
        <v>1573</v>
      </c>
      <c r="B26">
        <v>444208</v>
      </c>
      <c r="C26">
        <v>0</v>
      </c>
      <c r="D26">
        <v>0</v>
      </c>
      <c r="E26">
        <v>0</v>
      </c>
    </row>
    <row r="27" spans="1:5" x14ac:dyDescent="0.25">
      <c r="A27" t="s">
        <v>1574</v>
      </c>
      <c r="B27">
        <v>444208</v>
      </c>
      <c r="C27">
        <v>0</v>
      </c>
      <c r="D27">
        <v>0</v>
      </c>
      <c r="E27">
        <v>0</v>
      </c>
    </row>
    <row r="28" spans="1:5" x14ac:dyDescent="0.25">
      <c r="A28" t="s">
        <v>1575</v>
      </c>
      <c r="B28">
        <v>444208</v>
      </c>
      <c r="C28">
        <v>0</v>
      </c>
      <c r="D28">
        <v>0</v>
      </c>
      <c r="E28">
        <v>0</v>
      </c>
    </row>
    <row r="29" spans="1:5" x14ac:dyDescent="0.25">
      <c r="A29" t="s">
        <v>1576</v>
      </c>
      <c r="B29">
        <v>444208</v>
      </c>
      <c r="C29">
        <v>0</v>
      </c>
      <c r="D29">
        <v>0</v>
      </c>
      <c r="E29">
        <v>0</v>
      </c>
    </row>
    <row r="30" spans="1:5" x14ac:dyDescent="0.25">
      <c r="A30" t="s">
        <v>1577</v>
      </c>
      <c r="B30">
        <v>444208</v>
      </c>
      <c r="C30">
        <v>0</v>
      </c>
      <c r="D30">
        <v>0</v>
      </c>
      <c r="E30">
        <v>0</v>
      </c>
    </row>
    <row r="31" spans="1:5" x14ac:dyDescent="0.25">
      <c r="A31" t="s">
        <v>1578</v>
      </c>
      <c r="B31">
        <v>444208</v>
      </c>
      <c r="C31">
        <v>0</v>
      </c>
      <c r="D31">
        <v>0</v>
      </c>
      <c r="E31">
        <v>0</v>
      </c>
    </row>
    <row r="32" spans="1:5" x14ac:dyDescent="0.25">
      <c r="A32" t="s">
        <v>1579</v>
      </c>
      <c r="B32">
        <v>444208</v>
      </c>
      <c r="C32">
        <v>0</v>
      </c>
      <c r="D32">
        <v>0</v>
      </c>
      <c r="E32">
        <v>0</v>
      </c>
    </row>
    <row r="33" spans="1:5" x14ac:dyDescent="0.25">
      <c r="A33" t="s">
        <v>1580</v>
      </c>
      <c r="B33">
        <v>444208</v>
      </c>
      <c r="C33">
        <v>0</v>
      </c>
      <c r="D33">
        <v>0</v>
      </c>
      <c r="E33">
        <v>0</v>
      </c>
    </row>
    <row r="34" spans="1:5" x14ac:dyDescent="0.25">
      <c r="A34" t="s">
        <v>1581</v>
      </c>
      <c r="B34">
        <v>444208</v>
      </c>
      <c r="C34">
        <v>0</v>
      </c>
      <c r="D34">
        <v>0</v>
      </c>
      <c r="E34">
        <v>0</v>
      </c>
    </row>
    <row r="35" spans="1:5" x14ac:dyDescent="0.25">
      <c r="A35" t="s">
        <v>1582</v>
      </c>
      <c r="B35">
        <v>444208</v>
      </c>
      <c r="C35">
        <v>0</v>
      </c>
      <c r="D35">
        <v>0</v>
      </c>
      <c r="E35">
        <v>0</v>
      </c>
    </row>
    <row r="36" spans="1:5" x14ac:dyDescent="0.25">
      <c r="A36" t="s">
        <v>1583</v>
      </c>
      <c r="B36">
        <v>444208</v>
      </c>
      <c r="C36">
        <v>0</v>
      </c>
      <c r="D36">
        <v>0</v>
      </c>
      <c r="E36">
        <v>0</v>
      </c>
    </row>
    <row r="37" spans="1:5" x14ac:dyDescent="0.25">
      <c r="A37" t="s">
        <v>1584</v>
      </c>
      <c r="B37">
        <v>444208</v>
      </c>
      <c r="C37">
        <v>0</v>
      </c>
      <c r="D37">
        <v>0</v>
      </c>
      <c r="E37">
        <v>0</v>
      </c>
    </row>
    <row r="38" spans="1:5" x14ac:dyDescent="0.25">
      <c r="A38" t="s">
        <v>1585</v>
      </c>
      <c r="B38">
        <v>444208</v>
      </c>
      <c r="C38">
        <v>0</v>
      </c>
      <c r="D38">
        <v>0</v>
      </c>
      <c r="E38">
        <v>0</v>
      </c>
    </row>
    <row r="39" spans="1:5" x14ac:dyDescent="0.25">
      <c r="A39" t="s">
        <v>1586</v>
      </c>
      <c r="B39">
        <v>444208</v>
      </c>
      <c r="C39">
        <v>0</v>
      </c>
      <c r="D39">
        <v>0</v>
      </c>
      <c r="E39">
        <v>0</v>
      </c>
    </row>
    <row r="40" spans="1:5" x14ac:dyDescent="0.25">
      <c r="A40" t="s">
        <v>1587</v>
      </c>
      <c r="B40">
        <v>444208</v>
      </c>
      <c r="C40">
        <v>0</v>
      </c>
      <c r="D40">
        <v>0</v>
      </c>
      <c r="E40">
        <v>0</v>
      </c>
    </row>
    <row r="41" spans="1:5" x14ac:dyDescent="0.25">
      <c r="A41" t="s">
        <v>1588</v>
      </c>
      <c r="B41">
        <v>444208</v>
      </c>
      <c r="C41">
        <v>0</v>
      </c>
      <c r="D41">
        <v>0</v>
      </c>
      <c r="E41">
        <v>0</v>
      </c>
    </row>
    <row r="42" spans="1:5" x14ac:dyDescent="0.25">
      <c r="A42" t="s">
        <v>1589</v>
      </c>
      <c r="B42">
        <v>444208</v>
      </c>
      <c r="C42">
        <v>0</v>
      </c>
      <c r="D42">
        <v>0</v>
      </c>
      <c r="E42">
        <v>0</v>
      </c>
    </row>
    <row r="43" spans="1:5" x14ac:dyDescent="0.25">
      <c r="A43" t="s">
        <v>1590</v>
      </c>
      <c r="B43">
        <v>338211</v>
      </c>
      <c r="C43">
        <v>-9818049</v>
      </c>
      <c r="D43">
        <v>23587</v>
      </c>
      <c r="E43">
        <v>-3191321</v>
      </c>
    </row>
    <row r="44" spans="1:5" x14ac:dyDescent="0.25">
      <c r="A44" t="s">
        <v>1591</v>
      </c>
      <c r="B44">
        <v>307383</v>
      </c>
      <c r="C44">
        <v>-9818049</v>
      </c>
      <c r="D44">
        <v>23532</v>
      </c>
      <c r="E44">
        <v>-3184283</v>
      </c>
    </row>
    <row r="45" spans="1:5" x14ac:dyDescent="0.25">
      <c r="A45" t="s">
        <v>1592</v>
      </c>
      <c r="B45">
        <v>269976</v>
      </c>
      <c r="C45">
        <v>-9818049</v>
      </c>
      <c r="D45">
        <v>23516</v>
      </c>
      <c r="E45">
        <v>-3174693</v>
      </c>
    </row>
    <row r="46" spans="1:5" x14ac:dyDescent="0.25">
      <c r="A46" t="s">
        <v>1593</v>
      </c>
      <c r="B46">
        <v>390904</v>
      </c>
      <c r="C46">
        <v>-9818049</v>
      </c>
      <c r="D46">
        <v>23524</v>
      </c>
      <c r="E46">
        <v>-3004922</v>
      </c>
    </row>
    <row r="47" spans="1:5" x14ac:dyDescent="0.25">
      <c r="A47" t="s">
        <v>1594</v>
      </c>
      <c r="B47">
        <v>466582</v>
      </c>
      <c r="C47">
        <v>-7542052</v>
      </c>
      <c r="D47">
        <v>1404</v>
      </c>
      <c r="E47">
        <v>-3902470</v>
      </c>
    </row>
    <row r="48" spans="1:5" x14ac:dyDescent="0.25">
      <c r="A48" t="s">
        <v>1595</v>
      </c>
      <c r="B48">
        <v>497260</v>
      </c>
      <c r="C48">
        <v>-7542052</v>
      </c>
      <c r="D48">
        <v>1479</v>
      </c>
      <c r="E48">
        <v>-3983922</v>
      </c>
    </row>
    <row r="49" spans="1:5" x14ac:dyDescent="0.25">
      <c r="A49" t="s">
        <v>1596</v>
      </c>
      <c r="B49">
        <v>529765</v>
      </c>
      <c r="C49">
        <v>-7542052</v>
      </c>
      <c r="D49">
        <v>1487</v>
      </c>
      <c r="E49">
        <v>-3979842</v>
      </c>
    </row>
    <row r="50" spans="1:5" x14ac:dyDescent="0.25">
      <c r="A50" t="s">
        <v>1597</v>
      </c>
      <c r="B50">
        <v>609364</v>
      </c>
      <c r="C50">
        <v>-7542052</v>
      </c>
      <c r="D50">
        <v>1405</v>
      </c>
      <c r="E50">
        <v>-4062649</v>
      </c>
    </row>
    <row r="51" spans="1:5" x14ac:dyDescent="0.25">
      <c r="A51" t="s">
        <v>1598</v>
      </c>
      <c r="B51">
        <v>553060</v>
      </c>
      <c r="C51">
        <v>-7542052</v>
      </c>
      <c r="D51">
        <v>1355</v>
      </c>
      <c r="E51">
        <v>-4027414</v>
      </c>
    </row>
    <row r="52" spans="1:5" x14ac:dyDescent="0.25">
      <c r="A52" t="s">
        <v>1599</v>
      </c>
      <c r="B52">
        <v>457604</v>
      </c>
      <c r="C52">
        <v>-9188524</v>
      </c>
      <c r="D52">
        <v>-1823</v>
      </c>
      <c r="E52">
        <v>-1500062</v>
      </c>
    </row>
    <row r="53" spans="1:5" x14ac:dyDescent="0.25">
      <c r="A53" t="s">
        <v>1600</v>
      </c>
      <c r="B53">
        <v>596381</v>
      </c>
      <c r="C53">
        <v>-9188524</v>
      </c>
      <c r="D53">
        <v>-1871</v>
      </c>
      <c r="E53">
        <v>-1804975</v>
      </c>
    </row>
    <row r="54" spans="1:5" x14ac:dyDescent="0.25">
      <c r="A54" t="s">
        <v>1601</v>
      </c>
      <c r="B54">
        <v>592039</v>
      </c>
      <c r="C54">
        <v>-9188524</v>
      </c>
      <c r="D54">
        <v>-1851</v>
      </c>
      <c r="E54">
        <v>-1850411</v>
      </c>
    </row>
    <row r="55" spans="1:5" x14ac:dyDescent="0.25">
      <c r="A55" t="s">
        <v>1602</v>
      </c>
      <c r="B55">
        <v>547438</v>
      </c>
      <c r="C55">
        <v>-9188524</v>
      </c>
      <c r="D55">
        <v>-1909</v>
      </c>
      <c r="E55">
        <v>-1729117</v>
      </c>
    </row>
    <row r="56" spans="1:5" x14ac:dyDescent="0.25">
      <c r="A56" t="s">
        <v>1603</v>
      </c>
      <c r="B56">
        <v>540207</v>
      </c>
      <c r="C56">
        <v>-9188524</v>
      </c>
      <c r="D56">
        <v>-1860</v>
      </c>
      <c r="E56">
        <v>-1605267</v>
      </c>
    </row>
    <row r="57" spans="1:5" x14ac:dyDescent="0.25">
      <c r="A57" t="s">
        <v>1604</v>
      </c>
      <c r="B57">
        <v>427040</v>
      </c>
      <c r="C57">
        <v>-9188524</v>
      </c>
      <c r="D57">
        <v>-1782</v>
      </c>
      <c r="E57">
        <v>-1388250</v>
      </c>
    </row>
    <row r="58" spans="1:5" x14ac:dyDescent="0.25">
      <c r="A58" t="s">
        <v>1605</v>
      </c>
      <c r="B58">
        <v>431614</v>
      </c>
      <c r="C58">
        <v>-9188524</v>
      </c>
      <c r="D58">
        <v>-1848</v>
      </c>
      <c r="E58">
        <v>-1363165</v>
      </c>
    </row>
    <row r="59" spans="1:5" x14ac:dyDescent="0.25">
      <c r="A59" t="s">
        <v>1606</v>
      </c>
      <c r="B59">
        <v>464383</v>
      </c>
      <c r="C59">
        <v>-9188524</v>
      </c>
      <c r="D59">
        <v>-1821</v>
      </c>
      <c r="E59">
        <v>-1421437</v>
      </c>
    </row>
    <row r="60" spans="1:5" x14ac:dyDescent="0.25">
      <c r="A60" t="s">
        <v>1607</v>
      </c>
      <c r="B60">
        <v>468045</v>
      </c>
      <c r="C60">
        <v>-9188524</v>
      </c>
      <c r="D60">
        <v>-1677</v>
      </c>
      <c r="E60">
        <v>-1464064</v>
      </c>
    </row>
    <row r="61" spans="1:5" x14ac:dyDescent="0.25">
      <c r="A61" t="s">
        <v>1608</v>
      </c>
      <c r="B61">
        <v>148002</v>
      </c>
      <c r="C61">
        <v>-9188524</v>
      </c>
      <c r="D61">
        <v>-883</v>
      </c>
      <c r="E61">
        <v>-997059</v>
      </c>
    </row>
    <row r="62" spans="1:5" x14ac:dyDescent="0.25">
      <c r="A62" t="s">
        <v>1609</v>
      </c>
      <c r="B62">
        <v>323470</v>
      </c>
      <c r="C62">
        <v>-9188524</v>
      </c>
      <c r="D62">
        <v>-1273</v>
      </c>
      <c r="E62">
        <v>-213084</v>
      </c>
    </row>
    <row r="63" spans="1:5" x14ac:dyDescent="0.25">
      <c r="A63" t="s">
        <v>1610</v>
      </c>
      <c r="B63">
        <v>74858</v>
      </c>
      <c r="C63">
        <v>-2079938</v>
      </c>
      <c r="D63">
        <v>-11104</v>
      </c>
      <c r="E63">
        <v>4006354</v>
      </c>
    </row>
    <row r="64" spans="1:5" x14ac:dyDescent="0.25">
      <c r="A64" t="s">
        <v>1611</v>
      </c>
      <c r="B64">
        <v>-295845</v>
      </c>
      <c r="C64">
        <v>-4956128</v>
      </c>
      <c r="D64">
        <v>-17943</v>
      </c>
      <c r="E64">
        <v>8045489</v>
      </c>
    </row>
    <row r="65" spans="1:5" x14ac:dyDescent="0.25">
      <c r="A65" t="s">
        <v>1612</v>
      </c>
      <c r="B65">
        <v>516667</v>
      </c>
      <c r="C65">
        <v>-4956128</v>
      </c>
      <c r="D65">
        <v>-17621</v>
      </c>
      <c r="E65">
        <v>7272475</v>
      </c>
    </row>
    <row r="66" spans="1:5" x14ac:dyDescent="0.25">
      <c r="A66" t="s">
        <v>1613</v>
      </c>
      <c r="B66">
        <v>351819</v>
      </c>
      <c r="C66">
        <v>-4331411</v>
      </c>
      <c r="D66">
        <v>-23014</v>
      </c>
      <c r="E66">
        <v>5455413</v>
      </c>
    </row>
    <row r="67" spans="1:5" x14ac:dyDescent="0.25">
      <c r="A67" t="s">
        <v>1614</v>
      </c>
      <c r="B67">
        <v>421714</v>
      </c>
      <c r="C67">
        <v>-4331411</v>
      </c>
      <c r="D67">
        <v>-22700</v>
      </c>
      <c r="E67">
        <v>5339387</v>
      </c>
    </row>
    <row r="68" spans="1:5" x14ac:dyDescent="0.25">
      <c r="A68" t="s">
        <v>1615</v>
      </c>
      <c r="B68">
        <v>431203</v>
      </c>
      <c r="C68">
        <v>-12980833</v>
      </c>
      <c r="D68">
        <v>17338</v>
      </c>
      <c r="E68">
        <v>13118948</v>
      </c>
    </row>
    <row r="69" spans="1:5" x14ac:dyDescent="0.25">
      <c r="A69" t="s">
        <v>1616</v>
      </c>
      <c r="B69">
        <v>402902</v>
      </c>
      <c r="C69">
        <v>-12980833</v>
      </c>
      <c r="D69">
        <v>17070</v>
      </c>
      <c r="E69">
        <v>12965662</v>
      </c>
    </row>
    <row r="70" spans="1:5" x14ac:dyDescent="0.25">
      <c r="A70" t="s">
        <v>1617</v>
      </c>
      <c r="B70">
        <v>-284342</v>
      </c>
      <c r="C70">
        <v>-12980833</v>
      </c>
      <c r="D70">
        <v>17409</v>
      </c>
      <c r="E70">
        <v>13599033</v>
      </c>
    </row>
    <row r="71" spans="1:5" x14ac:dyDescent="0.25">
      <c r="A71" t="s">
        <v>1618</v>
      </c>
      <c r="B71">
        <v>348000</v>
      </c>
      <c r="C71">
        <v>-12980833</v>
      </c>
      <c r="D71">
        <v>17189</v>
      </c>
      <c r="E71">
        <v>12960595</v>
      </c>
    </row>
    <row r="72" spans="1:5" x14ac:dyDescent="0.25">
      <c r="A72" t="s">
        <v>1619</v>
      </c>
      <c r="B72">
        <v>364078</v>
      </c>
      <c r="C72">
        <v>-12980833</v>
      </c>
      <c r="D72">
        <v>16784</v>
      </c>
      <c r="E72">
        <v>12646813</v>
      </c>
    </row>
    <row r="73" spans="1:5" x14ac:dyDescent="0.25">
      <c r="A73" t="s">
        <v>1620</v>
      </c>
      <c r="B73">
        <v>-826118</v>
      </c>
      <c r="C73">
        <v>-12547367</v>
      </c>
      <c r="D73">
        <v>23894</v>
      </c>
      <c r="E73">
        <v>13712046</v>
      </c>
    </row>
    <row r="74" spans="1:5" x14ac:dyDescent="0.25">
      <c r="A74" t="s">
        <v>1621</v>
      </c>
      <c r="B74">
        <v>407457</v>
      </c>
      <c r="C74">
        <v>-12547367</v>
      </c>
      <c r="D74">
        <v>25524</v>
      </c>
      <c r="E74">
        <v>12713674</v>
      </c>
    </row>
    <row r="75" spans="1:5" x14ac:dyDescent="0.25">
      <c r="A75" t="s">
        <v>1622</v>
      </c>
      <c r="B75">
        <v>1260599</v>
      </c>
      <c r="C75">
        <v>-12547367</v>
      </c>
      <c r="D75">
        <v>24809</v>
      </c>
      <c r="E75">
        <v>11587105</v>
      </c>
    </row>
    <row r="76" spans="1:5" x14ac:dyDescent="0.25">
      <c r="A76" t="s">
        <v>1623</v>
      </c>
      <c r="B76">
        <v>1762859</v>
      </c>
      <c r="C76">
        <v>-12547367</v>
      </c>
      <c r="D76">
        <v>24921</v>
      </c>
      <c r="E76">
        <v>10891150</v>
      </c>
    </row>
    <row r="77" spans="1:5" x14ac:dyDescent="0.25">
      <c r="A77" t="s">
        <v>1624</v>
      </c>
      <c r="B77">
        <v>1764740</v>
      </c>
      <c r="C77">
        <v>-6349895</v>
      </c>
      <c r="D77">
        <v>2852</v>
      </c>
      <c r="E77">
        <v>4471196</v>
      </c>
    </row>
    <row r="78" spans="1:5" x14ac:dyDescent="0.25">
      <c r="A78" t="s">
        <v>1625</v>
      </c>
      <c r="B78">
        <v>1730069</v>
      </c>
      <c r="C78">
        <v>-6349895</v>
      </c>
      <c r="D78">
        <v>2862</v>
      </c>
      <c r="E78">
        <v>4476284</v>
      </c>
    </row>
    <row r="79" spans="1:5" x14ac:dyDescent="0.25">
      <c r="A79" t="s">
        <v>1626</v>
      </c>
      <c r="B79">
        <v>1737175</v>
      </c>
      <c r="C79">
        <v>-6349895</v>
      </c>
      <c r="D79">
        <v>2866</v>
      </c>
      <c r="E79">
        <v>4476354</v>
      </c>
    </row>
    <row r="80" spans="1:5" x14ac:dyDescent="0.25">
      <c r="A80" t="s">
        <v>1627</v>
      </c>
      <c r="B80">
        <v>1703461</v>
      </c>
      <c r="C80">
        <v>-6349895</v>
      </c>
      <c r="D80">
        <v>2838</v>
      </c>
      <c r="E80">
        <v>4604370</v>
      </c>
    </row>
    <row r="81" spans="1:5" x14ac:dyDescent="0.25">
      <c r="A81" t="s">
        <v>1628</v>
      </c>
      <c r="B81">
        <v>1721442</v>
      </c>
      <c r="C81">
        <v>-6349895</v>
      </c>
      <c r="D81">
        <v>2708</v>
      </c>
      <c r="E81">
        <v>4544254</v>
      </c>
    </row>
    <row r="82" spans="1:5" x14ac:dyDescent="0.25">
      <c r="A82" t="s">
        <v>1629</v>
      </c>
      <c r="B82">
        <v>1900002</v>
      </c>
      <c r="C82">
        <v>-6349895</v>
      </c>
      <c r="D82">
        <v>2839</v>
      </c>
      <c r="E82">
        <v>4167581</v>
      </c>
    </row>
    <row r="83" spans="1:5" x14ac:dyDescent="0.25">
      <c r="A83" t="s">
        <v>1630</v>
      </c>
      <c r="B83">
        <v>1950624</v>
      </c>
      <c r="C83">
        <v>-4259659</v>
      </c>
      <c r="D83">
        <v>2834</v>
      </c>
      <c r="E83">
        <v>1788359</v>
      </c>
    </row>
    <row r="84" spans="1:5" x14ac:dyDescent="0.25">
      <c r="A84" t="s">
        <v>1631</v>
      </c>
      <c r="B84">
        <v>1909277</v>
      </c>
      <c r="C84">
        <v>-4259659</v>
      </c>
      <c r="D84">
        <v>2837</v>
      </c>
      <c r="E84">
        <v>1817960</v>
      </c>
    </row>
    <row r="85" spans="1:5" x14ac:dyDescent="0.25">
      <c r="A85" t="s">
        <v>1632</v>
      </c>
      <c r="B85">
        <v>1940400</v>
      </c>
      <c r="C85">
        <v>-3473705</v>
      </c>
      <c r="D85">
        <v>9528</v>
      </c>
      <c r="E85">
        <v>1484648</v>
      </c>
    </row>
    <row r="86" spans="1:5" x14ac:dyDescent="0.25">
      <c r="A86" t="s">
        <v>1633</v>
      </c>
      <c r="B86">
        <v>2019068</v>
      </c>
      <c r="C86">
        <v>-3473705</v>
      </c>
      <c r="D86">
        <v>9387</v>
      </c>
      <c r="E86">
        <v>1378679</v>
      </c>
    </row>
    <row r="87" spans="1:5" x14ac:dyDescent="0.25">
      <c r="A87" t="s">
        <v>1634</v>
      </c>
      <c r="B87">
        <v>1998289</v>
      </c>
      <c r="C87">
        <v>-3473705</v>
      </c>
      <c r="D87">
        <v>9368</v>
      </c>
      <c r="E87">
        <v>1399599</v>
      </c>
    </row>
    <row r="88" spans="1:5" x14ac:dyDescent="0.25">
      <c r="A88" t="s">
        <v>1635</v>
      </c>
      <c r="B88">
        <v>2302067</v>
      </c>
      <c r="C88">
        <v>-3473705</v>
      </c>
      <c r="D88">
        <v>9112</v>
      </c>
      <c r="E88">
        <v>1001247</v>
      </c>
    </row>
    <row r="89" spans="1:5" x14ac:dyDescent="0.25">
      <c r="A89" t="s">
        <v>1636</v>
      </c>
      <c r="B89">
        <v>2345032</v>
      </c>
      <c r="C89">
        <v>-1021755</v>
      </c>
      <c r="D89">
        <v>-8160</v>
      </c>
      <c r="E89">
        <v>450568</v>
      </c>
    </row>
    <row r="90" spans="1:5" x14ac:dyDescent="0.25">
      <c r="A90" t="s">
        <v>1637</v>
      </c>
      <c r="B90">
        <v>2345032</v>
      </c>
      <c r="C90">
        <v>0</v>
      </c>
      <c r="D90">
        <v>0</v>
      </c>
      <c r="E90">
        <v>0</v>
      </c>
    </row>
    <row r="91" spans="1:5" x14ac:dyDescent="0.25">
      <c r="A91" t="s">
        <v>1638</v>
      </c>
      <c r="B91">
        <v>2345032</v>
      </c>
      <c r="C91">
        <v>0</v>
      </c>
      <c r="D91">
        <v>0</v>
      </c>
      <c r="E91">
        <v>0</v>
      </c>
    </row>
    <row r="92" spans="1:5" x14ac:dyDescent="0.25">
      <c r="A92" t="s">
        <v>1639</v>
      </c>
      <c r="B92">
        <v>2345032</v>
      </c>
      <c r="C92">
        <v>0</v>
      </c>
      <c r="D92">
        <v>0</v>
      </c>
      <c r="E92">
        <v>0</v>
      </c>
    </row>
    <row r="93" spans="1:5" x14ac:dyDescent="0.25">
      <c r="A93" t="s">
        <v>1640</v>
      </c>
      <c r="B93">
        <v>2345032</v>
      </c>
      <c r="C93">
        <v>0</v>
      </c>
      <c r="D93">
        <v>0</v>
      </c>
      <c r="E93">
        <v>0</v>
      </c>
    </row>
    <row r="94" spans="1:5" x14ac:dyDescent="0.25">
      <c r="A94" t="s">
        <v>1641</v>
      </c>
      <c r="B94">
        <v>2345032</v>
      </c>
      <c r="C94">
        <v>0</v>
      </c>
      <c r="D94">
        <v>0</v>
      </c>
      <c r="E94">
        <v>0</v>
      </c>
    </row>
    <row r="95" spans="1:5" x14ac:dyDescent="0.25">
      <c r="A95" t="s">
        <v>1642</v>
      </c>
      <c r="B95">
        <v>2345032</v>
      </c>
      <c r="C95">
        <v>0</v>
      </c>
      <c r="D95">
        <v>0</v>
      </c>
      <c r="E95">
        <v>0</v>
      </c>
    </row>
    <row r="96" spans="1:5" x14ac:dyDescent="0.25">
      <c r="A96" t="s">
        <v>1643</v>
      </c>
      <c r="B96">
        <v>2217270</v>
      </c>
      <c r="C96">
        <v>-5475337</v>
      </c>
      <c r="D96">
        <v>-1939</v>
      </c>
      <c r="E96">
        <v>-1300965</v>
      </c>
    </row>
    <row r="97" spans="1:5" x14ac:dyDescent="0.25">
      <c r="A97" t="s">
        <v>1644</v>
      </c>
      <c r="B97">
        <v>2263892</v>
      </c>
      <c r="C97">
        <v>-5475337</v>
      </c>
      <c r="D97">
        <v>-1832</v>
      </c>
      <c r="E97">
        <v>-1229443</v>
      </c>
    </row>
    <row r="98" spans="1:5" x14ac:dyDescent="0.25">
      <c r="A98" t="s">
        <v>1645</v>
      </c>
      <c r="B98">
        <v>2257081</v>
      </c>
      <c r="C98">
        <v>-5475337</v>
      </c>
      <c r="D98">
        <v>-1766</v>
      </c>
      <c r="E98">
        <v>-1257072</v>
      </c>
    </row>
    <row r="99" spans="1:5" x14ac:dyDescent="0.25">
      <c r="A99" t="s">
        <v>1646</v>
      </c>
      <c r="B99">
        <v>2348084</v>
      </c>
      <c r="C99">
        <v>-5475337</v>
      </c>
      <c r="D99">
        <v>-1833</v>
      </c>
      <c r="E99">
        <v>-1507060</v>
      </c>
    </row>
    <row r="100" spans="1:5" x14ac:dyDescent="0.25">
      <c r="A100" t="s">
        <v>1647</v>
      </c>
      <c r="B100">
        <v>2299580</v>
      </c>
      <c r="C100">
        <v>-5475337</v>
      </c>
      <c r="D100">
        <v>-1895</v>
      </c>
      <c r="E100">
        <v>-1470622</v>
      </c>
    </row>
    <row r="101" spans="1:5" x14ac:dyDescent="0.25">
      <c r="A101" t="s">
        <v>1648</v>
      </c>
      <c r="B101">
        <v>2286756</v>
      </c>
      <c r="C101">
        <v>-5475337</v>
      </c>
      <c r="D101">
        <v>-1816</v>
      </c>
      <c r="E101">
        <v>-1495263</v>
      </c>
    </row>
    <row r="102" spans="1:5" x14ac:dyDescent="0.25">
      <c r="A102" t="s">
        <v>1649</v>
      </c>
      <c r="B102">
        <v>2322441</v>
      </c>
      <c r="C102">
        <v>-5475337</v>
      </c>
      <c r="D102">
        <v>-1811</v>
      </c>
      <c r="E102">
        <v>-1515169</v>
      </c>
    </row>
    <row r="103" spans="1:5" x14ac:dyDescent="0.25">
      <c r="A103" t="s">
        <v>1650</v>
      </c>
      <c r="B103">
        <v>2380884</v>
      </c>
      <c r="C103">
        <v>-5475337</v>
      </c>
      <c r="D103">
        <v>-1679</v>
      </c>
      <c r="E103">
        <v>-1606755</v>
      </c>
    </row>
    <row r="104" spans="1:5" x14ac:dyDescent="0.25">
      <c r="A104" t="s">
        <v>1651</v>
      </c>
      <c r="B104">
        <v>2380884</v>
      </c>
      <c r="C104">
        <v>-5475337</v>
      </c>
      <c r="D104">
        <v>-1679</v>
      </c>
      <c r="E104">
        <v>-1606755</v>
      </c>
    </row>
    <row r="105" spans="1:5" x14ac:dyDescent="0.25">
      <c r="A105" t="s">
        <v>1652</v>
      </c>
      <c r="B105">
        <v>2312434</v>
      </c>
      <c r="C105">
        <v>-5475337</v>
      </c>
      <c r="D105">
        <v>-1679</v>
      </c>
      <c r="E105">
        <v>-1621350</v>
      </c>
    </row>
    <row r="106" spans="1:5" x14ac:dyDescent="0.25">
      <c r="A106" t="s">
        <v>1653</v>
      </c>
      <c r="B106">
        <v>2265896</v>
      </c>
      <c r="C106">
        <v>-5475337</v>
      </c>
      <c r="D106">
        <v>-1641</v>
      </c>
      <c r="E106">
        <v>-1611419</v>
      </c>
    </row>
    <row r="107" spans="1:5" x14ac:dyDescent="0.25">
      <c r="A107" t="s">
        <v>1654</v>
      </c>
      <c r="B107">
        <v>2323180</v>
      </c>
      <c r="C107">
        <v>-5475337</v>
      </c>
      <c r="D107">
        <v>-1747</v>
      </c>
      <c r="E107">
        <v>-1693383</v>
      </c>
    </row>
    <row r="108" spans="1:5" x14ac:dyDescent="0.25">
      <c r="A108" t="s">
        <v>1655</v>
      </c>
      <c r="B108">
        <v>2326684</v>
      </c>
      <c r="C108">
        <v>-5475337</v>
      </c>
      <c r="D108">
        <v>-1713</v>
      </c>
      <c r="E108">
        <v>-1729212</v>
      </c>
    </row>
    <row r="109" spans="1:5" x14ac:dyDescent="0.25">
      <c r="A109" t="s">
        <v>1656</v>
      </c>
      <c r="B109">
        <v>2368898</v>
      </c>
      <c r="C109">
        <v>-5475337</v>
      </c>
      <c r="D109">
        <v>-1685</v>
      </c>
      <c r="E109">
        <v>-1790474</v>
      </c>
    </row>
    <row r="110" spans="1:5" x14ac:dyDescent="0.25">
      <c r="A110" t="s">
        <v>1657</v>
      </c>
      <c r="B110">
        <v>2329608</v>
      </c>
      <c r="C110">
        <v>-5475337</v>
      </c>
      <c r="D110">
        <v>-1596</v>
      </c>
      <c r="E110">
        <v>-1804245</v>
      </c>
    </row>
    <row r="111" spans="1:5" x14ac:dyDescent="0.25">
      <c r="A111" t="s">
        <v>1658</v>
      </c>
      <c r="B111">
        <v>2373010</v>
      </c>
      <c r="C111">
        <v>-5475337</v>
      </c>
      <c r="D111">
        <v>-1443</v>
      </c>
      <c r="E111">
        <v>-1814094</v>
      </c>
    </row>
    <row r="112" spans="1:5" x14ac:dyDescent="0.25">
      <c r="A112" t="s">
        <v>1659</v>
      </c>
      <c r="B112">
        <v>2329568</v>
      </c>
      <c r="C112">
        <v>-5475337</v>
      </c>
      <c r="D112">
        <v>-1502</v>
      </c>
      <c r="E112">
        <v>-1669370</v>
      </c>
    </row>
    <row r="113" spans="1:5" x14ac:dyDescent="0.25">
      <c r="A113" t="s">
        <v>1660</v>
      </c>
      <c r="B113">
        <v>2339711</v>
      </c>
      <c r="C113">
        <v>-5475337</v>
      </c>
      <c r="D113">
        <v>-1427</v>
      </c>
      <c r="E113">
        <v>-1806563</v>
      </c>
    </row>
    <row r="114" spans="1:5" x14ac:dyDescent="0.25">
      <c r="A114" t="s">
        <v>1661</v>
      </c>
      <c r="B114">
        <v>2264999</v>
      </c>
      <c r="C114">
        <v>-5475337</v>
      </c>
      <c r="D114">
        <v>-1524</v>
      </c>
      <c r="E114">
        <v>-1645382</v>
      </c>
    </row>
    <row r="115" spans="1:5" x14ac:dyDescent="0.25">
      <c r="A115" t="s">
        <v>1662</v>
      </c>
      <c r="B115">
        <v>2345675</v>
      </c>
      <c r="C115">
        <v>-5475337</v>
      </c>
      <c r="D115">
        <v>-1551</v>
      </c>
      <c r="E115">
        <v>-1673260</v>
      </c>
    </row>
    <row r="116" spans="1:5" x14ac:dyDescent="0.25">
      <c r="A116" t="s">
        <v>1663</v>
      </c>
      <c r="B116">
        <v>2410041</v>
      </c>
      <c r="C116">
        <v>-12549813</v>
      </c>
      <c r="D116">
        <v>7571</v>
      </c>
      <c r="E116">
        <v>-5032183</v>
      </c>
    </row>
    <row r="117" spans="1:5" x14ac:dyDescent="0.25">
      <c r="A117" t="s">
        <v>1664</v>
      </c>
      <c r="B117">
        <v>2237769</v>
      </c>
      <c r="C117">
        <v>-12549813</v>
      </c>
      <c r="D117">
        <v>7681</v>
      </c>
      <c r="E117">
        <v>-5069738</v>
      </c>
    </row>
    <row r="118" spans="1:5" x14ac:dyDescent="0.25">
      <c r="A118" t="s">
        <v>1665</v>
      </c>
      <c r="B118">
        <v>2371192</v>
      </c>
      <c r="C118">
        <v>-12549813</v>
      </c>
      <c r="D118">
        <v>7703</v>
      </c>
      <c r="E118">
        <v>-5225820</v>
      </c>
    </row>
    <row r="119" spans="1:5" x14ac:dyDescent="0.25">
      <c r="A119" t="s">
        <v>1666</v>
      </c>
      <c r="B119">
        <v>2406942</v>
      </c>
      <c r="C119">
        <v>-12549813</v>
      </c>
      <c r="D119">
        <v>7909</v>
      </c>
      <c r="E119">
        <v>-5652392</v>
      </c>
    </row>
    <row r="120" spans="1:5" x14ac:dyDescent="0.25">
      <c r="A120" t="s">
        <v>1667</v>
      </c>
      <c r="B120">
        <v>2354640</v>
      </c>
      <c r="C120">
        <v>-12549813</v>
      </c>
      <c r="D120">
        <v>7912</v>
      </c>
      <c r="E120">
        <v>-5583370</v>
      </c>
    </row>
    <row r="121" spans="1:5" x14ac:dyDescent="0.25">
      <c r="A121" t="s">
        <v>1668</v>
      </c>
      <c r="B121">
        <v>2439853</v>
      </c>
      <c r="C121">
        <v>-12549813</v>
      </c>
      <c r="D121">
        <v>8117</v>
      </c>
      <c r="E121">
        <v>-5766380</v>
      </c>
    </row>
    <row r="122" spans="1:5" x14ac:dyDescent="0.25">
      <c r="A122" t="s">
        <v>1669</v>
      </c>
      <c r="B122">
        <v>2339045</v>
      </c>
      <c r="C122">
        <v>-12549813</v>
      </c>
      <c r="D122">
        <v>8133</v>
      </c>
      <c r="E122">
        <v>-5822124</v>
      </c>
    </row>
    <row r="123" spans="1:5" x14ac:dyDescent="0.25">
      <c r="A123" t="s">
        <v>1670</v>
      </c>
      <c r="B123">
        <v>2495271</v>
      </c>
      <c r="C123">
        <v>-12549813</v>
      </c>
      <c r="D123">
        <v>8166</v>
      </c>
      <c r="E123">
        <v>-6062539</v>
      </c>
    </row>
    <row r="124" spans="1:5" x14ac:dyDescent="0.25">
      <c r="A124" t="s">
        <v>1671</v>
      </c>
      <c r="B124">
        <v>2561477</v>
      </c>
      <c r="C124">
        <v>-10911112</v>
      </c>
      <c r="D124">
        <v>5875</v>
      </c>
      <c r="E124">
        <v>-4935747</v>
      </c>
    </row>
    <row r="125" spans="1:5" x14ac:dyDescent="0.25">
      <c r="A125" t="s">
        <v>1672</v>
      </c>
      <c r="B125">
        <v>2613754</v>
      </c>
      <c r="C125">
        <v>-10911112</v>
      </c>
      <c r="D125">
        <v>5890</v>
      </c>
      <c r="E125">
        <v>-5011195</v>
      </c>
    </row>
    <row r="126" spans="1:5" x14ac:dyDescent="0.25">
      <c r="A126" t="s">
        <v>1673</v>
      </c>
      <c r="B126">
        <v>2686142</v>
      </c>
      <c r="C126">
        <v>-8312397</v>
      </c>
      <c r="D126">
        <v>5340</v>
      </c>
      <c r="E126">
        <v>-5401609</v>
      </c>
    </row>
    <row r="127" spans="1:5" x14ac:dyDescent="0.25">
      <c r="A127" t="s">
        <v>1674</v>
      </c>
      <c r="B127">
        <v>2758948</v>
      </c>
      <c r="C127">
        <v>-8312397</v>
      </c>
      <c r="D127">
        <v>5386</v>
      </c>
      <c r="E127">
        <v>-5413586</v>
      </c>
    </row>
    <row r="128" spans="1:5" x14ac:dyDescent="0.25">
      <c r="A128" t="s">
        <v>1675</v>
      </c>
      <c r="B128">
        <v>2679630</v>
      </c>
      <c r="C128">
        <v>-3180736</v>
      </c>
      <c r="D128">
        <v>-2930</v>
      </c>
      <c r="E128">
        <v>-1646954</v>
      </c>
    </row>
    <row r="129" spans="1:5" x14ac:dyDescent="0.25">
      <c r="A129" t="s">
        <v>1676</v>
      </c>
      <c r="B129">
        <v>2657355</v>
      </c>
      <c r="C129">
        <v>-3180736</v>
      </c>
      <c r="D129">
        <v>-2986</v>
      </c>
      <c r="E129">
        <v>-1610160</v>
      </c>
    </row>
    <row r="130" spans="1:5" x14ac:dyDescent="0.25">
      <c r="A130" t="s">
        <v>1677</v>
      </c>
      <c r="B130">
        <v>2696133</v>
      </c>
      <c r="C130">
        <v>-3180736</v>
      </c>
      <c r="D130">
        <v>-2955</v>
      </c>
      <c r="E130">
        <v>-1667615</v>
      </c>
    </row>
    <row r="131" spans="1:5" x14ac:dyDescent="0.25">
      <c r="A131" t="s">
        <v>1678</v>
      </c>
      <c r="B131">
        <v>2700382</v>
      </c>
      <c r="C131">
        <v>-3180736</v>
      </c>
      <c r="D131">
        <v>-2999</v>
      </c>
      <c r="E131">
        <v>-1676988</v>
      </c>
    </row>
    <row r="132" spans="1:5" x14ac:dyDescent="0.25">
      <c r="A132" t="s">
        <v>1679</v>
      </c>
      <c r="B132">
        <v>2682972</v>
      </c>
      <c r="C132">
        <v>-3180736</v>
      </c>
      <c r="D132">
        <v>-2980</v>
      </c>
      <c r="E132">
        <v>-1639403</v>
      </c>
    </row>
    <row r="133" spans="1:5" x14ac:dyDescent="0.25">
      <c r="A133" t="s">
        <v>1680</v>
      </c>
      <c r="B133">
        <v>2682010</v>
      </c>
      <c r="C133">
        <v>-3180736</v>
      </c>
      <c r="D133">
        <v>-2988</v>
      </c>
      <c r="E133">
        <v>-1622700</v>
      </c>
    </row>
    <row r="134" spans="1:5" x14ac:dyDescent="0.25">
      <c r="A134" t="s">
        <v>1681</v>
      </c>
      <c r="B134">
        <v>2620770</v>
      </c>
      <c r="C134">
        <v>-3180736</v>
      </c>
      <c r="D134">
        <v>-3071</v>
      </c>
      <c r="E134">
        <v>-1570555</v>
      </c>
    </row>
    <row r="135" spans="1:5" x14ac:dyDescent="0.25">
      <c r="A135" t="s">
        <v>1682</v>
      </c>
      <c r="B135">
        <v>2641348</v>
      </c>
      <c r="C135">
        <v>-3180736</v>
      </c>
      <c r="D135">
        <v>-3098</v>
      </c>
      <c r="E135">
        <v>-1572787</v>
      </c>
    </row>
    <row r="136" spans="1:5" x14ac:dyDescent="0.25">
      <c r="A136" t="s">
        <v>1683</v>
      </c>
      <c r="B136">
        <v>2645885</v>
      </c>
      <c r="C136">
        <v>-3180736</v>
      </c>
      <c r="D136">
        <v>-3108</v>
      </c>
      <c r="E136">
        <v>-1625776</v>
      </c>
    </row>
    <row r="137" spans="1:5" x14ac:dyDescent="0.25">
      <c r="A137" t="s">
        <v>1684</v>
      </c>
      <c r="B137">
        <v>2630897</v>
      </c>
      <c r="C137">
        <v>-3180736</v>
      </c>
      <c r="D137">
        <v>-3027</v>
      </c>
      <c r="E137">
        <v>-1634695</v>
      </c>
    </row>
    <row r="138" spans="1:5" x14ac:dyDescent="0.25">
      <c r="A138" t="s">
        <v>1685</v>
      </c>
      <c r="B138">
        <v>2652254</v>
      </c>
      <c r="C138">
        <v>-3180736</v>
      </c>
      <c r="D138">
        <v>-2957</v>
      </c>
      <c r="E138">
        <v>-1663064</v>
      </c>
    </row>
    <row r="139" spans="1:5" x14ac:dyDescent="0.25">
      <c r="A139" t="s">
        <v>1686</v>
      </c>
      <c r="B139">
        <v>2657630</v>
      </c>
      <c r="C139">
        <v>-3180736</v>
      </c>
      <c r="D139">
        <v>-2921</v>
      </c>
      <c r="E139">
        <v>-1651288</v>
      </c>
    </row>
    <row r="140" spans="1:5" x14ac:dyDescent="0.25">
      <c r="A140" t="s">
        <v>1687</v>
      </c>
      <c r="B140">
        <v>2678534</v>
      </c>
      <c r="C140">
        <v>-3180736</v>
      </c>
      <c r="D140">
        <v>-2907</v>
      </c>
      <c r="E140">
        <v>-1707052</v>
      </c>
    </row>
    <row r="141" spans="1:5" x14ac:dyDescent="0.25">
      <c r="A141" t="s">
        <v>1688</v>
      </c>
      <c r="B141">
        <v>2629818</v>
      </c>
      <c r="C141">
        <v>-3180736</v>
      </c>
      <c r="D141">
        <v>-2863</v>
      </c>
      <c r="E141">
        <v>-1705766</v>
      </c>
    </row>
    <row r="142" spans="1:5" x14ac:dyDescent="0.25">
      <c r="A142" t="s">
        <v>1689</v>
      </c>
      <c r="B142">
        <v>2632444</v>
      </c>
      <c r="C142">
        <v>-3180736</v>
      </c>
      <c r="D142">
        <v>-2907</v>
      </c>
      <c r="E142">
        <v>-1710995</v>
      </c>
    </row>
    <row r="143" spans="1:5" x14ac:dyDescent="0.25">
      <c r="A143" t="s">
        <v>1690</v>
      </c>
      <c r="B143">
        <v>2632398</v>
      </c>
      <c r="C143">
        <v>-3180736</v>
      </c>
      <c r="D143">
        <v>-3021</v>
      </c>
      <c r="E143">
        <v>-1693018</v>
      </c>
    </row>
    <row r="144" spans="1:5" x14ac:dyDescent="0.25">
      <c r="A144" t="s">
        <v>1691</v>
      </c>
      <c r="B144">
        <v>2595177</v>
      </c>
      <c r="C144">
        <v>-3180736</v>
      </c>
      <c r="D144">
        <v>-3170</v>
      </c>
      <c r="E144">
        <v>-1650082</v>
      </c>
    </row>
    <row r="145" spans="1:5" x14ac:dyDescent="0.25">
      <c r="A145" t="s">
        <v>1692</v>
      </c>
      <c r="B145">
        <v>2596109</v>
      </c>
      <c r="C145">
        <v>-3180736</v>
      </c>
      <c r="D145">
        <v>-3225</v>
      </c>
      <c r="E145">
        <v>-1628550</v>
      </c>
    </row>
    <row r="146" spans="1:5" x14ac:dyDescent="0.25">
      <c r="A146" t="s">
        <v>1693</v>
      </c>
      <c r="B146">
        <v>2605147</v>
      </c>
      <c r="C146">
        <v>-3180736</v>
      </c>
      <c r="D146">
        <v>-3269</v>
      </c>
      <c r="E146">
        <v>-1618835</v>
      </c>
    </row>
    <row r="147" spans="1:5" x14ac:dyDescent="0.25">
      <c r="A147" t="s">
        <v>1694</v>
      </c>
      <c r="B147">
        <v>2602764</v>
      </c>
      <c r="C147">
        <v>-8089467</v>
      </c>
      <c r="D147">
        <v>74481</v>
      </c>
      <c r="E147">
        <v>-2058356</v>
      </c>
    </row>
    <row r="148" spans="1:5" x14ac:dyDescent="0.25">
      <c r="A148" t="s">
        <v>1695</v>
      </c>
      <c r="B148">
        <v>2737860</v>
      </c>
      <c r="C148">
        <v>-8089467</v>
      </c>
      <c r="D148">
        <v>74370</v>
      </c>
      <c r="E148">
        <v>-2278713</v>
      </c>
    </row>
    <row r="149" spans="1:5" x14ac:dyDescent="0.25">
      <c r="A149" t="s">
        <v>1696</v>
      </c>
      <c r="B149">
        <v>2761211</v>
      </c>
      <c r="C149">
        <v>-8089467</v>
      </c>
      <c r="D149">
        <v>74320</v>
      </c>
      <c r="E149">
        <v>-2379481</v>
      </c>
    </row>
    <row r="150" spans="1:5" x14ac:dyDescent="0.25">
      <c r="A150" t="s">
        <v>1697</v>
      </c>
      <c r="B150">
        <v>2701400</v>
      </c>
      <c r="C150">
        <v>-6477452</v>
      </c>
      <c r="D150">
        <v>76922</v>
      </c>
      <c r="E150">
        <v>-1123376</v>
      </c>
    </row>
    <row r="151" spans="1:5" x14ac:dyDescent="0.25">
      <c r="A151" t="s">
        <v>1698</v>
      </c>
      <c r="B151">
        <v>2584275</v>
      </c>
      <c r="C151">
        <v>-6477452</v>
      </c>
      <c r="D151">
        <v>76863</v>
      </c>
      <c r="E151">
        <v>-1134725</v>
      </c>
    </row>
    <row r="152" spans="1:5" x14ac:dyDescent="0.25">
      <c r="A152" t="s">
        <v>1699</v>
      </c>
      <c r="B152">
        <v>2605193</v>
      </c>
      <c r="C152">
        <v>-6477452</v>
      </c>
      <c r="D152">
        <v>76895</v>
      </c>
      <c r="E152">
        <v>-1297441</v>
      </c>
    </row>
    <row r="153" spans="1:5" x14ac:dyDescent="0.25">
      <c r="A153" t="s">
        <v>1700</v>
      </c>
      <c r="B153">
        <v>2571627</v>
      </c>
      <c r="C153">
        <v>-6477452</v>
      </c>
      <c r="D153">
        <v>76606</v>
      </c>
      <c r="E153">
        <v>-1252772</v>
      </c>
    </row>
    <row r="154" spans="1:5" x14ac:dyDescent="0.25">
      <c r="A154" t="s">
        <v>1701</v>
      </c>
      <c r="B154">
        <v>2630142</v>
      </c>
      <c r="C154">
        <v>-6477452</v>
      </c>
      <c r="D154">
        <v>76704</v>
      </c>
      <c r="E154">
        <v>-1439789</v>
      </c>
    </row>
    <row r="155" spans="1:5" x14ac:dyDescent="0.25">
      <c r="A155" t="s">
        <v>1702</v>
      </c>
      <c r="B155">
        <v>2636878</v>
      </c>
      <c r="C155">
        <v>-6477452</v>
      </c>
      <c r="D155">
        <v>76799</v>
      </c>
      <c r="E155">
        <v>-1572948</v>
      </c>
    </row>
    <row r="156" spans="1:5" x14ac:dyDescent="0.25">
      <c r="A156" t="s">
        <v>1703</v>
      </c>
      <c r="B156">
        <v>2567556</v>
      </c>
      <c r="C156">
        <v>-4967234</v>
      </c>
      <c r="D156">
        <v>74390</v>
      </c>
      <c r="E156">
        <v>-410451</v>
      </c>
    </row>
    <row r="157" spans="1:5" x14ac:dyDescent="0.25">
      <c r="A157" t="s">
        <v>1704</v>
      </c>
      <c r="B157">
        <v>2523320</v>
      </c>
      <c r="C157">
        <v>-4967234</v>
      </c>
      <c r="D157">
        <v>74473</v>
      </c>
      <c r="E157">
        <v>-443241</v>
      </c>
    </row>
    <row r="158" spans="1:5" x14ac:dyDescent="0.25">
      <c r="A158" t="s">
        <v>1705</v>
      </c>
      <c r="B158">
        <v>2519875</v>
      </c>
      <c r="C158">
        <v>-4967234</v>
      </c>
      <c r="D158">
        <v>74212</v>
      </c>
      <c r="E158">
        <v>-442671</v>
      </c>
    </row>
    <row r="159" spans="1:5" x14ac:dyDescent="0.25">
      <c r="A159" t="s">
        <v>1706</v>
      </c>
      <c r="B159">
        <v>2436819</v>
      </c>
      <c r="C159">
        <v>-4967234</v>
      </c>
      <c r="D159">
        <v>74186</v>
      </c>
      <c r="E159">
        <v>-373067</v>
      </c>
    </row>
    <row r="160" spans="1:5" x14ac:dyDescent="0.25">
      <c r="A160" t="s">
        <v>1707</v>
      </c>
      <c r="B160">
        <v>2496119</v>
      </c>
      <c r="C160">
        <v>-4967234</v>
      </c>
      <c r="D160">
        <v>74114</v>
      </c>
      <c r="E160">
        <v>-313937</v>
      </c>
    </row>
    <row r="161" spans="1:5" x14ac:dyDescent="0.25">
      <c r="A161" t="s">
        <v>1708</v>
      </c>
      <c r="B161">
        <v>2509549</v>
      </c>
      <c r="C161">
        <v>-4967234</v>
      </c>
      <c r="D161">
        <v>73948</v>
      </c>
      <c r="E161">
        <v>-237825</v>
      </c>
    </row>
    <row r="162" spans="1:5" x14ac:dyDescent="0.25">
      <c r="A162" t="s">
        <v>1709</v>
      </c>
      <c r="B162">
        <v>2637481</v>
      </c>
      <c r="C162">
        <v>-4967234</v>
      </c>
      <c r="D162">
        <v>74161</v>
      </c>
      <c r="E162">
        <v>-608839</v>
      </c>
    </row>
    <row r="163" spans="1:5" x14ac:dyDescent="0.25">
      <c r="A163" t="s">
        <v>1710</v>
      </c>
      <c r="B163">
        <v>2600242</v>
      </c>
      <c r="C163">
        <v>-4967234</v>
      </c>
      <c r="D163">
        <v>73949</v>
      </c>
      <c r="E163">
        <v>-586948</v>
      </c>
    </row>
    <row r="164" spans="1:5" x14ac:dyDescent="0.25">
      <c r="A164" t="s">
        <v>1711</v>
      </c>
      <c r="B164">
        <v>2807808</v>
      </c>
      <c r="C164">
        <v>-4967234</v>
      </c>
      <c r="D164">
        <v>73811</v>
      </c>
      <c r="E164">
        <v>-591042</v>
      </c>
    </row>
    <row r="165" spans="1:5" x14ac:dyDescent="0.25">
      <c r="A165" t="s">
        <v>1712</v>
      </c>
      <c r="B165">
        <v>2956719</v>
      </c>
      <c r="C165">
        <v>-4967234</v>
      </c>
      <c r="D165">
        <v>73608</v>
      </c>
      <c r="E165">
        <v>-504849</v>
      </c>
    </row>
    <row r="166" spans="1:5" x14ac:dyDescent="0.25">
      <c r="A166" t="s">
        <v>1713</v>
      </c>
      <c r="B166">
        <v>2857008</v>
      </c>
      <c r="C166">
        <v>-4967234</v>
      </c>
      <c r="D166">
        <v>73759</v>
      </c>
      <c r="E166">
        <v>-577154</v>
      </c>
    </row>
    <row r="167" spans="1:5" x14ac:dyDescent="0.25">
      <c r="A167" t="s">
        <v>1714</v>
      </c>
      <c r="B167">
        <v>2911928</v>
      </c>
      <c r="C167">
        <v>-4967234</v>
      </c>
      <c r="D167">
        <v>73799</v>
      </c>
      <c r="E167">
        <v>-507080</v>
      </c>
    </row>
    <row r="168" spans="1:5" x14ac:dyDescent="0.25">
      <c r="A168" t="s">
        <v>1715</v>
      </c>
      <c r="B168">
        <v>2660865</v>
      </c>
      <c r="C168">
        <v>-8544735</v>
      </c>
      <c r="D168">
        <v>79743</v>
      </c>
      <c r="E168">
        <v>6068583</v>
      </c>
    </row>
    <row r="169" spans="1:5" x14ac:dyDescent="0.25">
      <c r="A169" t="s">
        <v>1716</v>
      </c>
      <c r="B169">
        <v>3321890</v>
      </c>
      <c r="C169">
        <v>-8544735</v>
      </c>
      <c r="D169">
        <v>79452</v>
      </c>
      <c r="E169">
        <v>5968290</v>
      </c>
    </row>
    <row r="170" spans="1:5" x14ac:dyDescent="0.25">
      <c r="A170" t="s">
        <v>1717</v>
      </c>
      <c r="B170">
        <v>2886211</v>
      </c>
      <c r="C170">
        <v>-8544735</v>
      </c>
      <c r="D170">
        <v>79404</v>
      </c>
      <c r="E170">
        <v>5892003</v>
      </c>
    </row>
    <row r="171" spans="1:5" x14ac:dyDescent="0.25">
      <c r="A171" t="s">
        <v>1718</v>
      </c>
      <c r="B171">
        <v>2989329</v>
      </c>
      <c r="C171">
        <v>-8544735</v>
      </c>
      <c r="D171">
        <v>79193</v>
      </c>
      <c r="E171">
        <v>5414848</v>
      </c>
    </row>
    <row r="172" spans="1:5" x14ac:dyDescent="0.25">
      <c r="A172" t="s">
        <v>1719</v>
      </c>
      <c r="B172">
        <v>2847970</v>
      </c>
      <c r="C172">
        <v>-8439391</v>
      </c>
      <c r="D172">
        <v>81002</v>
      </c>
      <c r="E172">
        <v>3551442</v>
      </c>
    </row>
    <row r="173" spans="1:5" x14ac:dyDescent="0.25">
      <c r="A173" t="s">
        <v>1720</v>
      </c>
      <c r="B173">
        <v>2645877</v>
      </c>
      <c r="C173">
        <v>-8439391</v>
      </c>
      <c r="D173">
        <v>80898</v>
      </c>
      <c r="E173">
        <v>3508812</v>
      </c>
    </row>
    <row r="174" spans="1:5" x14ac:dyDescent="0.25">
      <c r="A174" t="s">
        <v>1721</v>
      </c>
      <c r="B174">
        <v>2585955</v>
      </c>
      <c r="C174">
        <v>-8439391</v>
      </c>
      <c r="D174">
        <v>80774</v>
      </c>
      <c r="E174">
        <v>3555336</v>
      </c>
    </row>
    <row r="175" spans="1:5" x14ac:dyDescent="0.25">
      <c r="A175" t="s">
        <v>1722</v>
      </c>
      <c r="B175">
        <v>2697149</v>
      </c>
      <c r="C175">
        <v>-8439391</v>
      </c>
      <c r="D175">
        <v>80702</v>
      </c>
      <c r="E175">
        <v>3294374</v>
      </c>
    </row>
    <row r="176" spans="1:5" x14ac:dyDescent="0.25">
      <c r="A176" t="s">
        <v>1723</v>
      </c>
      <c r="B176">
        <v>2688968</v>
      </c>
      <c r="C176">
        <v>-8439391</v>
      </c>
      <c r="D176">
        <v>80655</v>
      </c>
      <c r="E176">
        <v>2821028</v>
      </c>
    </row>
    <row r="177" spans="1:5" x14ac:dyDescent="0.25">
      <c r="A177" t="s">
        <v>1724</v>
      </c>
      <c r="B177">
        <v>2619196</v>
      </c>
      <c r="C177">
        <v>-8439391</v>
      </c>
      <c r="D177">
        <v>80599</v>
      </c>
      <c r="E177">
        <v>2845319</v>
      </c>
    </row>
    <row r="178" spans="1:5" x14ac:dyDescent="0.25">
      <c r="A178" t="s">
        <v>1725</v>
      </c>
      <c r="B178">
        <v>2660706</v>
      </c>
      <c r="C178">
        <v>-8439391</v>
      </c>
      <c r="D178">
        <v>80617</v>
      </c>
      <c r="E178">
        <v>2478544</v>
      </c>
    </row>
    <row r="179" spans="1:5" x14ac:dyDescent="0.25">
      <c r="A179" t="s">
        <v>1726</v>
      </c>
      <c r="B179">
        <v>2868059</v>
      </c>
      <c r="C179">
        <v>-8439391</v>
      </c>
      <c r="D179">
        <v>81071</v>
      </c>
      <c r="E179">
        <v>2423890</v>
      </c>
    </row>
    <row r="180" spans="1:5" x14ac:dyDescent="0.25">
      <c r="A180" t="s">
        <v>1727</v>
      </c>
      <c r="B180">
        <v>2623291</v>
      </c>
      <c r="C180">
        <v>-8439391</v>
      </c>
      <c r="D180">
        <v>81011</v>
      </c>
      <c r="E180">
        <v>2595332</v>
      </c>
    </row>
    <row r="181" spans="1:5" x14ac:dyDescent="0.25">
      <c r="A181" t="s">
        <v>1728</v>
      </c>
      <c r="B181">
        <v>2784021</v>
      </c>
      <c r="C181">
        <v>-8439391</v>
      </c>
      <c r="D181">
        <v>80563</v>
      </c>
      <c r="E181">
        <v>2285679</v>
      </c>
    </row>
    <row r="182" spans="1:5" x14ac:dyDescent="0.25">
      <c r="A182" t="s">
        <v>1729</v>
      </c>
      <c r="B182">
        <v>2775053</v>
      </c>
      <c r="C182">
        <v>-8439391</v>
      </c>
      <c r="D182">
        <v>80416</v>
      </c>
      <c r="E182">
        <v>2357863</v>
      </c>
    </row>
    <row r="183" spans="1:5" x14ac:dyDescent="0.25">
      <c r="A183" t="s">
        <v>1730</v>
      </c>
      <c r="B183">
        <v>2782855</v>
      </c>
      <c r="C183">
        <v>-8439391</v>
      </c>
      <c r="D183">
        <v>80340</v>
      </c>
      <c r="E183">
        <v>2261379</v>
      </c>
    </row>
    <row r="184" spans="1:5" x14ac:dyDescent="0.25">
      <c r="A184" t="s">
        <v>1731</v>
      </c>
      <c r="B184">
        <v>2465027</v>
      </c>
      <c r="C184">
        <v>-8439391</v>
      </c>
      <c r="D184">
        <v>80419</v>
      </c>
      <c r="E184">
        <v>2288174</v>
      </c>
    </row>
    <row r="185" spans="1:5" x14ac:dyDescent="0.25">
      <c r="A185" t="s">
        <v>1732</v>
      </c>
      <c r="B185">
        <v>2462871</v>
      </c>
      <c r="C185">
        <v>-8439391</v>
      </c>
      <c r="D185">
        <v>80085</v>
      </c>
      <c r="E185">
        <v>2434409</v>
      </c>
    </row>
    <row r="186" spans="1:5" x14ac:dyDescent="0.25">
      <c r="A186" t="s">
        <v>1733</v>
      </c>
      <c r="B186">
        <v>2462477</v>
      </c>
      <c r="C186">
        <v>-13044477</v>
      </c>
      <c r="D186">
        <v>88087</v>
      </c>
      <c r="E186">
        <v>-1021851</v>
      </c>
    </row>
    <row r="187" spans="1:5" x14ac:dyDescent="0.25">
      <c r="A187" t="s">
        <v>1734</v>
      </c>
      <c r="B187">
        <v>2577593</v>
      </c>
      <c r="C187">
        <v>-13044477</v>
      </c>
      <c r="D187">
        <v>88105</v>
      </c>
      <c r="E187">
        <v>-1345940</v>
      </c>
    </row>
    <row r="188" spans="1:5" x14ac:dyDescent="0.25">
      <c r="A188" t="s">
        <v>1735</v>
      </c>
      <c r="B188">
        <v>2673272</v>
      </c>
      <c r="C188">
        <v>-13044477</v>
      </c>
      <c r="D188">
        <v>88116</v>
      </c>
      <c r="E188">
        <v>-1779732</v>
      </c>
    </row>
    <row r="189" spans="1:5" x14ac:dyDescent="0.25">
      <c r="A189" t="s">
        <v>1736</v>
      </c>
      <c r="B189">
        <v>2504847</v>
      </c>
      <c r="C189">
        <v>-13044477</v>
      </c>
      <c r="D189">
        <v>88170</v>
      </c>
      <c r="E189">
        <v>-1705608</v>
      </c>
    </row>
    <row r="190" spans="1:5" x14ac:dyDescent="0.25">
      <c r="A190" t="s">
        <v>1737</v>
      </c>
      <c r="B190">
        <v>2496931</v>
      </c>
      <c r="C190">
        <v>-13044477</v>
      </c>
      <c r="D190">
        <v>88077</v>
      </c>
      <c r="E190">
        <v>-1863877</v>
      </c>
    </row>
    <row r="191" spans="1:5" x14ac:dyDescent="0.25">
      <c r="A191" t="s">
        <v>1738</v>
      </c>
      <c r="B191">
        <v>2331668</v>
      </c>
      <c r="C191">
        <v>-13044477</v>
      </c>
      <c r="D191">
        <v>87873</v>
      </c>
      <c r="E191">
        <v>-1838805</v>
      </c>
    </row>
    <row r="192" spans="1:5" x14ac:dyDescent="0.25">
      <c r="A192" t="s">
        <v>1739</v>
      </c>
      <c r="B192">
        <v>2372827</v>
      </c>
      <c r="C192">
        <v>-13044477</v>
      </c>
      <c r="D192">
        <v>87943</v>
      </c>
      <c r="E192">
        <v>-1861480</v>
      </c>
    </row>
    <row r="193" spans="1:5" x14ac:dyDescent="0.25">
      <c r="A193" t="s">
        <v>1740</v>
      </c>
      <c r="B193">
        <v>2803258</v>
      </c>
      <c r="C193">
        <v>-13044477</v>
      </c>
      <c r="D193">
        <v>87663</v>
      </c>
      <c r="E193">
        <v>-2139889</v>
      </c>
    </row>
    <row r="194" spans="1:5" x14ac:dyDescent="0.25">
      <c r="A194" t="s">
        <v>1741</v>
      </c>
      <c r="B194">
        <v>2932757</v>
      </c>
      <c r="C194">
        <v>-10167855</v>
      </c>
      <c r="D194">
        <v>89015</v>
      </c>
      <c r="E194">
        <v>665951</v>
      </c>
    </row>
    <row r="195" spans="1:5" x14ac:dyDescent="0.25">
      <c r="A195" t="s">
        <v>1742</v>
      </c>
      <c r="B195">
        <v>2824671</v>
      </c>
      <c r="C195">
        <v>-10167855</v>
      </c>
      <c r="D195">
        <v>88790</v>
      </c>
      <c r="E195">
        <v>800697</v>
      </c>
    </row>
    <row r="196" spans="1:5" x14ac:dyDescent="0.25">
      <c r="A196" t="s">
        <v>1743</v>
      </c>
      <c r="B196">
        <v>3155423</v>
      </c>
      <c r="C196">
        <v>-10167855</v>
      </c>
      <c r="D196">
        <v>88575</v>
      </c>
      <c r="E196">
        <v>909785</v>
      </c>
    </row>
    <row r="197" spans="1:5" x14ac:dyDescent="0.25">
      <c r="A197" t="s">
        <v>1744</v>
      </c>
      <c r="B197">
        <v>3018329</v>
      </c>
      <c r="C197">
        <v>-12381173</v>
      </c>
      <c r="D197">
        <v>82334</v>
      </c>
      <c r="E197">
        <v>7495847</v>
      </c>
    </row>
    <row r="198" spans="1:5" x14ac:dyDescent="0.25">
      <c r="A198" t="s">
        <v>1745</v>
      </c>
      <c r="B198">
        <v>2812614</v>
      </c>
      <c r="C198">
        <v>-12381173</v>
      </c>
      <c r="D198">
        <v>82102</v>
      </c>
      <c r="E198">
        <v>7476239</v>
      </c>
    </row>
    <row r="199" spans="1:5" x14ac:dyDescent="0.25">
      <c r="A199" t="s">
        <v>1746</v>
      </c>
      <c r="B199">
        <v>3109588</v>
      </c>
      <c r="C199">
        <v>-12381173</v>
      </c>
      <c r="D199">
        <v>82056</v>
      </c>
      <c r="E199">
        <v>7443506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9"/>
  <sheetViews>
    <sheetView workbookViewId="0"/>
  </sheetViews>
  <sheetFormatPr defaultRowHeight="15" x14ac:dyDescent="0.25"/>
  <sheetData>
    <row r="1" spans="1:5" x14ac:dyDescent="0.25">
      <c r="A1" s="1" t="s">
        <v>1545</v>
      </c>
      <c r="B1" s="1" t="s">
        <v>1546</v>
      </c>
      <c r="C1" s="1" t="s">
        <v>1547</v>
      </c>
      <c r="D1" s="1" t="s">
        <v>167</v>
      </c>
      <c r="E1" s="1" t="s">
        <v>22</v>
      </c>
    </row>
    <row r="2" spans="1:5" x14ac:dyDescent="0.25">
      <c r="A2" t="s">
        <v>1549</v>
      </c>
      <c r="B2">
        <v>7007</v>
      </c>
      <c r="C2">
        <v>-7616587</v>
      </c>
      <c r="D2">
        <v>1939</v>
      </c>
      <c r="E2">
        <v>-1085643</v>
      </c>
    </row>
    <row r="3" spans="1:5" x14ac:dyDescent="0.25">
      <c r="A3" t="s">
        <v>1550</v>
      </c>
      <c r="B3">
        <v>-18433</v>
      </c>
      <c r="C3">
        <v>-7616587</v>
      </c>
      <c r="D3">
        <v>1861</v>
      </c>
      <c r="E3">
        <v>-1004909</v>
      </c>
    </row>
    <row r="4" spans="1:5" x14ac:dyDescent="0.25">
      <c r="A4" t="s">
        <v>1551</v>
      </c>
      <c r="B4">
        <v>73519</v>
      </c>
      <c r="C4">
        <v>-7616587</v>
      </c>
      <c r="D4">
        <v>1988</v>
      </c>
      <c r="E4">
        <v>-1184367</v>
      </c>
    </row>
    <row r="5" spans="1:5" x14ac:dyDescent="0.25">
      <c r="A5" t="s">
        <v>1552</v>
      </c>
      <c r="B5">
        <v>420686</v>
      </c>
      <c r="C5">
        <v>-7616587</v>
      </c>
      <c r="D5">
        <v>2000</v>
      </c>
      <c r="E5">
        <v>-1614582</v>
      </c>
    </row>
    <row r="6" spans="1:5" x14ac:dyDescent="0.25">
      <c r="A6" t="s">
        <v>1553</v>
      </c>
      <c r="B6">
        <v>372077</v>
      </c>
      <c r="C6">
        <v>-7616587</v>
      </c>
      <c r="D6">
        <v>1991</v>
      </c>
      <c r="E6">
        <v>-1562610</v>
      </c>
    </row>
    <row r="7" spans="1:5" x14ac:dyDescent="0.25">
      <c r="A7" t="s">
        <v>1554</v>
      </c>
      <c r="B7">
        <v>386905</v>
      </c>
      <c r="C7">
        <v>-7616587</v>
      </c>
      <c r="D7">
        <v>1989</v>
      </c>
      <c r="E7">
        <v>-1679248</v>
      </c>
    </row>
    <row r="8" spans="1:5" x14ac:dyDescent="0.25">
      <c r="A8" t="s">
        <v>1555</v>
      </c>
      <c r="B8">
        <v>318730</v>
      </c>
      <c r="C8">
        <v>-7616587</v>
      </c>
      <c r="D8">
        <v>2110</v>
      </c>
      <c r="E8">
        <v>-1709054</v>
      </c>
    </row>
    <row r="9" spans="1:5" x14ac:dyDescent="0.25">
      <c r="A9" t="s">
        <v>1556</v>
      </c>
      <c r="B9">
        <v>495474</v>
      </c>
      <c r="C9">
        <v>-7616587</v>
      </c>
      <c r="D9">
        <v>2107</v>
      </c>
      <c r="E9">
        <v>-1902948</v>
      </c>
    </row>
    <row r="10" spans="1:5" x14ac:dyDescent="0.25">
      <c r="A10" t="s">
        <v>1557</v>
      </c>
      <c r="B10">
        <v>486864</v>
      </c>
      <c r="C10">
        <v>-7616587</v>
      </c>
      <c r="D10">
        <v>2129</v>
      </c>
      <c r="E10">
        <v>-1924129</v>
      </c>
    </row>
    <row r="11" spans="1:5" x14ac:dyDescent="0.25">
      <c r="A11" t="s">
        <v>1558</v>
      </c>
      <c r="B11">
        <v>513599</v>
      </c>
      <c r="C11">
        <v>-7616587</v>
      </c>
      <c r="D11">
        <v>2098</v>
      </c>
      <c r="E11">
        <v>-1948156</v>
      </c>
    </row>
    <row r="12" spans="1:5" x14ac:dyDescent="0.25">
      <c r="A12" t="s">
        <v>1559</v>
      </c>
      <c r="B12">
        <v>488761</v>
      </c>
      <c r="C12">
        <v>-7616587</v>
      </c>
      <c r="D12">
        <v>2249</v>
      </c>
      <c r="E12">
        <v>-1982237</v>
      </c>
    </row>
    <row r="13" spans="1:5" x14ac:dyDescent="0.25">
      <c r="A13" t="s">
        <v>1560</v>
      </c>
      <c r="B13">
        <v>405933</v>
      </c>
      <c r="C13">
        <v>-7616587</v>
      </c>
      <c r="D13">
        <v>2216</v>
      </c>
      <c r="E13">
        <v>-1835954</v>
      </c>
    </row>
    <row r="14" spans="1:5" x14ac:dyDescent="0.25">
      <c r="A14" t="s">
        <v>1561</v>
      </c>
      <c r="B14">
        <v>526714</v>
      </c>
      <c r="C14">
        <v>-7616587</v>
      </c>
      <c r="D14">
        <v>2119</v>
      </c>
      <c r="E14">
        <v>-1930296</v>
      </c>
    </row>
    <row r="15" spans="1:5" x14ac:dyDescent="0.25">
      <c r="A15" t="s">
        <v>1562</v>
      </c>
      <c r="B15">
        <v>490536</v>
      </c>
      <c r="C15">
        <v>-7616587</v>
      </c>
      <c r="D15">
        <v>2110</v>
      </c>
      <c r="E15">
        <v>-1907711</v>
      </c>
    </row>
    <row r="16" spans="1:5" x14ac:dyDescent="0.25">
      <c r="A16" t="s">
        <v>1563</v>
      </c>
      <c r="B16">
        <v>593600</v>
      </c>
      <c r="C16">
        <v>-7616587</v>
      </c>
      <c r="D16">
        <v>2122</v>
      </c>
      <c r="E16">
        <v>-2032269</v>
      </c>
    </row>
    <row r="17" spans="1:5" x14ac:dyDescent="0.25">
      <c r="A17" t="s">
        <v>1564</v>
      </c>
      <c r="B17">
        <v>522786</v>
      </c>
      <c r="C17">
        <v>-7616587</v>
      </c>
      <c r="D17">
        <v>2073</v>
      </c>
      <c r="E17">
        <v>-1931426</v>
      </c>
    </row>
    <row r="18" spans="1:5" x14ac:dyDescent="0.25">
      <c r="A18" t="s">
        <v>1565</v>
      </c>
      <c r="B18">
        <v>474787</v>
      </c>
      <c r="C18">
        <v>-7616587</v>
      </c>
      <c r="D18">
        <v>1960</v>
      </c>
      <c r="E18">
        <v>-1790126</v>
      </c>
    </row>
    <row r="19" spans="1:5" x14ac:dyDescent="0.25">
      <c r="A19" t="s">
        <v>1566</v>
      </c>
      <c r="B19">
        <v>592640</v>
      </c>
      <c r="C19">
        <v>-7616587</v>
      </c>
      <c r="D19">
        <v>2042</v>
      </c>
      <c r="E19">
        <v>-1977775</v>
      </c>
    </row>
    <row r="20" spans="1:5" x14ac:dyDescent="0.25">
      <c r="A20" t="s">
        <v>1567</v>
      </c>
      <c r="B20">
        <v>619970</v>
      </c>
      <c r="C20">
        <v>-7616587</v>
      </c>
      <c r="D20">
        <v>2092</v>
      </c>
      <c r="E20">
        <v>-2041178</v>
      </c>
    </row>
    <row r="21" spans="1:5" x14ac:dyDescent="0.25">
      <c r="A21" t="s">
        <v>1568</v>
      </c>
      <c r="B21">
        <v>579247</v>
      </c>
      <c r="C21">
        <v>-7616587</v>
      </c>
      <c r="D21">
        <v>2022</v>
      </c>
      <c r="E21">
        <v>-2000048</v>
      </c>
    </row>
    <row r="22" spans="1:5" x14ac:dyDescent="0.25">
      <c r="A22" t="s">
        <v>1569</v>
      </c>
      <c r="B22">
        <v>544344</v>
      </c>
      <c r="C22">
        <v>-7616587</v>
      </c>
      <c r="D22">
        <v>1988</v>
      </c>
      <c r="E22">
        <v>-1922582</v>
      </c>
    </row>
    <row r="23" spans="1:5" x14ac:dyDescent="0.25">
      <c r="A23" t="s">
        <v>1570</v>
      </c>
      <c r="B23">
        <v>620833</v>
      </c>
      <c r="C23">
        <v>-7616587</v>
      </c>
      <c r="D23">
        <v>1942</v>
      </c>
      <c r="E23">
        <v>-2017076</v>
      </c>
    </row>
    <row r="24" spans="1:5" x14ac:dyDescent="0.25">
      <c r="A24" t="s">
        <v>1571</v>
      </c>
      <c r="B24">
        <v>599151</v>
      </c>
      <c r="C24">
        <v>-7616587</v>
      </c>
      <c r="D24">
        <v>1972</v>
      </c>
      <c r="E24">
        <v>-2028940</v>
      </c>
    </row>
    <row r="25" spans="1:5" x14ac:dyDescent="0.25">
      <c r="A25" t="s">
        <v>1572</v>
      </c>
      <c r="B25">
        <v>618477</v>
      </c>
      <c r="C25">
        <v>-7616587</v>
      </c>
      <c r="D25">
        <v>2012</v>
      </c>
      <c r="E25">
        <v>-2099551</v>
      </c>
    </row>
    <row r="26" spans="1:5" x14ac:dyDescent="0.25">
      <c r="A26" t="s">
        <v>1573</v>
      </c>
      <c r="B26">
        <v>672938</v>
      </c>
      <c r="C26">
        <v>-7616587</v>
      </c>
      <c r="D26">
        <v>2085</v>
      </c>
      <c r="E26">
        <v>-2217353</v>
      </c>
    </row>
    <row r="27" spans="1:5" x14ac:dyDescent="0.25">
      <c r="A27" t="s">
        <v>1574</v>
      </c>
      <c r="B27">
        <v>642958</v>
      </c>
      <c r="C27">
        <v>-7616587</v>
      </c>
      <c r="D27">
        <v>2177</v>
      </c>
      <c r="E27">
        <v>-2256176</v>
      </c>
    </row>
    <row r="28" spans="1:5" x14ac:dyDescent="0.25">
      <c r="A28" t="s">
        <v>1575</v>
      </c>
      <c r="B28">
        <v>895729</v>
      </c>
      <c r="C28">
        <v>-5234158</v>
      </c>
      <c r="D28">
        <v>-4181</v>
      </c>
      <c r="E28">
        <v>-403650</v>
      </c>
    </row>
    <row r="29" spans="1:5" x14ac:dyDescent="0.25">
      <c r="A29" t="s">
        <v>1576</v>
      </c>
      <c r="B29">
        <v>654843</v>
      </c>
      <c r="C29">
        <v>-7616587</v>
      </c>
      <c r="D29">
        <v>2113</v>
      </c>
      <c r="E29">
        <v>-2288086</v>
      </c>
    </row>
    <row r="30" spans="1:5" x14ac:dyDescent="0.25">
      <c r="A30" t="s">
        <v>1577</v>
      </c>
      <c r="B30">
        <v>679130</v>
      </c>
      <c r="C30">
        <v>-7616587</v>
      </c>
      <c r="D30">
        <v>2056</v>
      </c>
      <c r="E30">
        <v>-2285000</v>
      </c>
    </row>
    <row r="31" spans="1:5" x14ac:dyDescent="0.25">
      <c r="A31" t="s">
        <v>1578</v>
      </c>
      <c r="B31">
        <v>640755</v>
      </c>
      <c r="C31">
        <v>-7616587</v>
      </c>
      <c r="D31">
        <v>2118</v>
      </c>
      <c r="E31">
        <v>-2262737</v>
      </c>
    </row>
    <row r="32" spans="1:5" x14ac:dyDescent="0.25">
      <c r="A32" t="s">
        <v>1579</v>
      </c>
      <c r="B32">
        <v>464154</v>
      </c>
      <c r="C32">
        <v>-7616587</v>
      </c>
      <c r="D32">
        <v>2090</v>
      </c>
      <c r="E32">
        <v>-2035020</v>
      </c>
    </row>
    <row r="33" spans="1:5" x14ac:dyDescent="0.25">
      <c r="A33" t="s">
        <v>1580</v>
      </c>
      <c r="B33">
        <v>482339</v>
      </c>
      <c r="C33">
        <v>-7616587</v>
      </c>
      <c r="D33">
        <v>2099</v>
      </c>
      <c r="E33">
        <v>-2050900</v>
      </c>
    </row>
    <row r="34" spans="1:5" x14ac:dyDescent="0.25">
      <c r="A34" t="s">
        <v>1581</v>
      </c>
      <c r="B34">
        <v>446334</v>
      </c>
      <c r="C34">
        <v>-7616587</v>
      </c>
      <c r="D34">
        <v>2132</v>
      </c>
      <c r="E34">
        <v>-2010020</v>
      </c>
    </row>
    <row r="35" spans="1:5" x14ac:dyDescent="0.25">
      <c r="A35" t="s">
        <v>1582</v>
      </c>
      <c r="B35">
        <v>405337</v>
      </c>
      <c r="C35">
        <v>-7616587</v>
      </c>
      <c r="D35">
        <v>2140</v>
      </c>
      <c r="E35">
        <v>-2006181</v>
      </c>
    </row>
    <row r="36" spans="1:5" x14ac:dyDescent="0.25">
      <c r="A36" t="s">
        <v>1583</v>
      </c>
      <c r="B36">
        <v>337670</v>
      </c>
      <c r="C36">
        <v>-7616587</v>
      </c>
      <c r="D36">
        <v>2020</v>
      </c>
      <c r="E36">
        <v>-1838003</v>
      </c>
    </row>
    <row r="37" spans="1:5" x14ac:dyDescent="0.25">
      <c r="A37" t="s">
        <v>1584</v>
      </c>
      <c r="B37">
        <v>271574</v>
      </c>
      <c r="C37">
        <v>-7616587</v>
      </c>
      <c r="D37">
        <v>2001</v>
      </c>
      <c r="E37">
        <v>-1758189</v>
      </c>
    </row>
    <row r="38" spans="1:5" x14ac:dyDescent="0.25">
      <c r="A38" t="s">
        <v>1585</v>
      </c>
      <c r="B38">
        <v>240927</v>
      </c>
      <c r="C38">
        <v>-7616587</v>
      </c>
      <c r="D38">
        <v>2100</v>
      </c>
      <c r="E38">
        <v>-1787370</v>
      </c>
    </row>
    <row r="39" spans="1:5" x14ac:dyDescent="0.25">
      <c r="A39" t="s">
        <v>1586</v>
      </c>
      <c r="B39">
        <v>306690</v>
      </c>
      <c r="C39">
        <v>-5234158</v>
      </c>
      <c r="D39">
        <v>-1870</v>
      </c>
      <c r="E39">
        <v>75168</v>
      </c>
    </row>
    <row r="40" spans="1:5" x14ac:dyDescent="0.25">
      <c r="A40" t="s">
        <v>1587</v>
      </c>
      <c r="B40">
        <v>251075</v>
      </c>
      <c r="C40">
        <v>-5234158</v>
      </c>
      <c r="D40">
        <v>-1465</v>
      </c>
      <c r="E40">
        <v>-66992</v>
      </c>
    </row>
    <row r="41" spans="1:5" x14ac:dyDescent="0.25">
      <c r="A41" t="s">
        <v>1588</v>
      </c>
      <c r="B41">
        <v>-57992</v>
      </c>
      <c r="C41">
        <v>-5234158</v>
      </c>
      <c r="D41">
        <v>-1376</v>
      </c>
      <c r="E41">
        <v>251069</v>
      </c>
    </row>
    <row r="42" spans="1:5" x14ac:dyDescent="0.25">
      <c r="A42" t="s">
        <v>1589</v>
      </c>
      <c r="B42">
        <v>97668</v>
      </c>
      <c r="C42">
        <v>-5234158</v>
      </c>
      <c r="D42">
        <v>-1290</v>
      </c>
      <c r="E42">
        <v>120434</v>
      </c>
    </row>
    <row r="43" spans="1:5" x14ac:dyDescent="0.25">
      <c r="A43" t="s">
        <v>1590</v>
      </c>
      <c r="B43">
        <v>-357274</v>
      </c>
      <c r="C43">
        <v>-15052207</v>
      </c>
      <c r="D43">
        <v>22244</v>
      </c>
      <c r="E43">
        <v>-2637181</v>
      </c>
    </row>
    <row r="44" spans="1:5" x14ac:dyDescent="0.25">
      <c r="A44" t="s">
        <v>1591</v>
      </c>
      <c r="B44">
        <v>-236646</v>
      </c>
      <c r="C44">
        <v>-15052207</v>
      </c>
      <c r="D44">
        <v>22334</v>
      </c>
      <c r="E44">
        <v>-2793149</v>
      </c>
    </row>
    <row r="45" spans="1:5" x14ac:dyDescent="0.25">
      <c r="A45" t="s">
        <v>1592</v>
      </c>
      <c r="B45">
        <v>-306354</v>
      </c>
      <c r="C45">
        <v>-15052207</v>
      </c>
      <c r="D45">
        <v>22310</v>
      </c>
      <c r="E45">
        <v>-2779923</v>
      </c>
    </row>
    <row r="46" spans="1:5" x14ac:dyDescent="0.25">
      <c r="A46" t="s">
        <v>1593</v>
      </c>
      <c r="B46">
        <v>-399720</v>
      </c>
      <c r="C46">
        <v>-15052207</v>
      </c>
      <c r="D46">
        <v>22214</v>
      </c>
      <c r="E46">
        <v>-2280050</v>
      </c>
    </row>
    <row r="47" spans="1:5" x14ac:dyDescent="0.25">
      <c r="A47" t="s">
        <v>1594</v>
      </c>
      <c r="B47">
        <v>-139403</v>
      </c>
      <c r="C47">
        <v>-15052207</v>
      </c>
      <c r="D47">
        <v>22213</v>
      </c>
      <c r="E47">
        <v>-2620045</v>
      </c>
    </row>
    <row r="48" spans="1:5" x14ac:dyDescent="0.25">
      <c r="A48" t="s">
        <v>1595</v>
      </c>
      <c r="B48">
        <v>26349</v>
      </c>
      <c r="C48">
        <v>-15052207</v>
      </c>
      <c r="D48">
        <v>22218</v>
      </c>
      <c r="E48">
        <v>-2964704</v>
      </c>
    </row>
    <row r="49" spans="1:5" x14ac:dyDescent="0.25">
      <c r="A49" t="s">
        <v>1596</v>
      </c>
      <c r="B49">
        <v>-119675</v>
      </c>
      <c r="C49">
        <v>-15052207</v>
      </c>
      <c r="D49">
        <v>22207</v>
      </c>
      <c r="E49">
        <v>-2814397</v>
      </c>
    </row>
    <row r="50" spans="1:5" x14ac:dyDescent="0.25">
      <c r="A50" t="s">
        <v>1597</v>
      </c>
      <c r="B50">
        <v>223071</v>
      </c>
      <c r="C50">
        <v>-15052207</v>
      </c>
      <c r="D50">
        <v>22128</v>
      </c>
      <c r="E50">
        <v>-3181163</v>
      </c>
    </row>
    <row r="51" spans="1:5" x14ac:dyDescent="0.25">
      <c r="A51" t="s">
        <v>1598</v>
      </c>
      <c r="B51">
        <v>-3814</v>
      </c>
      <c r="C51">
        <v>-15052207</v>
      </c>
      <c r="D51">
        <v>22073</v>
      </c>
      <c r="E51">
        <v>-2998869</v>
      </c>
    </row>
    <row r="52" spans="1:5" x14ac:dyDescent="0.25">
      <c r="A52" t="s">
        <v>1599</v>
      </c>
      <c r="B52">
        <v>-241005</v>
      </c>
      <c r="C52">
        <v>-16698679</v>
      </c>
      <c r="D52">
        <v>18892</v>
      </c>
      <c r="E52">
        <v>-210476</v>
      </c>
    </row>
    <row r="53" spans="1:5" x14ac:dyDescent="0.25">
      <c r="A53" t="s">
        <v>1600</v>
      </c>
      <c r="B53">
        <v>175454</v>
      </c>
      <c r="C53">
        <v>-16698679</v>
      </c>
      <c r="D53">
        <v>18799</v>
      </c>
      <c r="E53">
        <v>-931517</v>
      </c>
    </row>
    <row r="54" spans="1:5" x14ac:dyDescent="0.25">
      <c r="A54" t="s">
        <v>1601</v>
      </c>
      <c r="B54">
        <v>151990</v>
      </c>
      <c r="C54">
        <v>-16698679</v>
      </c>
      <c r="D54">
        <v>18799</v>
      </c>
      <c r="E54">
        <v>-1010996</v>
      </c>
    </row>
    <row r="55" spans="1:5" x14ac:dyDescent="0.25">
      <c r="A55" t="s">
        <v>1602</v>
      </c>
      <c r="B55">
        <v>-13787</v>
      </c>
      <c r="C55">
        <v>-16698679</v>
      </c>
      <c r="D55">
        <v>18731</v>
      </c>
      <c r="E55">
        <v>-674793</v>
      </c>
    </row>
    <row r="56" spans="1:5" x14ac:dyDescent="0.25">
      <c r="A56" t="s">
        <v>1603</v>
      </c>
      <c r="B56">
        <v>-101066</v>
      </c>
      <c r="C56">
        <v>-16698679</v>
      </c>
      <c r="D56">
        <v>18756</v>
      </c>
      <c r="E56">
        <v>-405858</v>
      </c>
    </row>
    <row r="57" spans="1:5" x14ac:dyDescent="0.25">
      <c r="A57" t="s">
        <v>1604</v>
      </c>
      <c r="B57">
        <v>-391934</v>
      </c>
      <c r="C57">
        <v>-16698679</v>
      </c>
      <c r="D57">
        <v>18808</v>
      </c>
      <c r="E57">
        <v>130086</v>
      </c>
    </row>
    <row r="58" spans="1:5" x14ac:dyDescent="0.25">
      <c r="A58" t="s">
        <v>1605</v>
      </c>
      <c r="B58">
        <v>-394294</v>
      </c>
      <c r="C58">
        <v>-16698679</v>
      </c>
      <c r="D58">
        <v>18699</v>
      </c>
      <c r="E58">
        <v>247241</v>
      </c>
    </row>
    <row r="59" spans="1:5" x14ac:dyDescent="0.25">
      <c r="A59" t="s">
        <v>1606</v>
      </c>
      <c r="B59">
        <v>-412843</v>
      </c>
      <c r="C59">
        <v>-16698679</v>
      </c>
      <c r="D59">
        <v>18704</v>
      </c>
      <c r="E59">
        <v>190127</v>
      </c>
    </row>
    <row r="60" spans="1:5" x14ac:dyDescent="0.25">
      <c r="A60" t="s">
        <v>1607</v>
      </c>
      <c r="B60">
        <v>-314268</v>
      </c>
      <c r="C60">
        <v>-16698679</v>
      </c>
      <c r="D60">
        <v>18814</v>
      </c>
      <c r="E60">
        <v>-52942</v>
      </c>
    </row>
    <row r="61" spans="1:5" x14ac:dyDescent="0.25">
      <c r="A61" t="s">
        <v>1608</v>
      </c>
      <c r="B61">
        <v>-1155979</v>
      </c>
      <c r="C61">
        <v>-16698679</v>
      </c>
      <c r="D61">
        <v>19492</v>
      </c>
      <c r="E61">
        <v>1056665</v>
      </c>
    </row>
    <row r="62" spans="1:5" x14ac:dyDescent="0.25">
      <c r="A62" t="s">
        <v>1609</v>
      </c>
      <c r="B62">
        <v>-1962788</v>
      </c>
      <c r="C62">
        <v>-16698679</v>
      </c>
      <c r="D62">
        <v>19134</v>
      </c>
      <c r="E62">
        <v>3236658</v>
      </c>
    </row>
    <row r="63" spans="1:5" x14ac:dyDescent="0.25">
      <c r="A63" t="s">
        <v>1610</v>
      </c>
      <c r="B63">
        <v>-1960548</v>
      </c>
      <c r="C63">
        <v>-16698679</v>
      </c>
      <c r="D63">
        <v>18904</v>
      </c>
      <c r="E63">
        <v>3992376</v>
      </c>
    </row>
    <row r="64" spans="1:5" x14ac:dyDescent="0.25">
      <c r="A64" t="s">
        <v>1611</v>
      </c>
      <c r="B64">
        <v>-2916300</v>
      </c>
      <c r="C64">
        <v>-12466283</v>
      </c>
      <c r="D64">
        <v>2425</v>
      </c>
      <c r="E64">
        <v>12264752</v>
      </c>
    </row>
    <row r="65" spans="1:5" x14ac:dyDescent="0.25">
      <c r="A65" t="s">
        <v>1612</v>
      </c>
      <c r="B65">
        <v>-93431</v>
      </c>
      <c r="C65">
        <v>-12466283</v>
      </c>
      <c r="D65">
        <v>2681</v>
      </c>
      <c r="E65">
        <v>9837670</v>
      </c>
    </row>
    <row r="66" spans="1:5" x14ac:dyDescent="0.25">
      <c r="A66" t="s">
        <v>1613</v>
      </c>
      <c r="B66">
        <v>-852481</v>
      </c>
      <c r="C66">
        <v>-10190286</v>
      </c>
      <c r="D66">
        <v>-18080</v>
      </c>
      <c r="E66">
        <v>9158901</v>
      </c>
    </row>
    <row r="67" spans="1:5" x14ac:dyDescent="0.25">
      <c r="A67" t="s">
        <v>1614</v>
      </c>
      <c r="B67">
        <v>-674518</v>
      </c>
      <c r="C67">
        <v>-10190286</v>
      </c>
      <c r="D67">
        <v>-17468</v>
      </c>
      <c r="E67">
        <v>8830522</v>
      </c>
    </row>
    <row r="68" spans="1:5" x14ac:dyDescent="0.25">
      <c r="A68" t="s">
        <v>1615</v>
      </c>
      <c r="B68">
        <v>-571265</v>
      </c>
      <c r="C68">
        <v>-18839708</v>
      </c>
      <c r="D68">
        <v>22612</v>
      </c>
      <c r="E68">
        <v>16289718</v>
      </c>
    </row>
    <row r="69" spans="1:5" x14ac:dyDescent="0.25">
      <c r="A69" t="s">
        <v>1616</v>
      </c>
      <c r="B69">
        <v>-713869</v>
      </c>
      <c r="C69">
        <v>-18839708</v>
      </c>
      <c r="D69">
        <v>22266</v>
      </c>
      <c r="E69">
        <v>16139789</v>
      </c>
    </row>
    <row r="70" spans="1:5" x14ac:dyDescent="0.25">
      <c r="A70" t="s">
        <v>1617</v>
      </c>
      <c r="B70">
        <v>-1677500</v>
      </c>
      <c r="C70">
        <v>-18839708</v>
      </c>
      <c r="D70">
        <v>22702</v>
      </c>
      <c r="E70">
        <v>17026905</v>
      </c>
    </row>
    <row r="71" spans="1:5" x14ac:dyDescent="0.25">
      <c r="A71" t="s">
        <v>1618</v>
      </c>
      <c r="B71">
        <v>-796880</v>
      </c>
      <c r="C71">
        <v>-18839708</v>
      </c>
      <c r="D71">
        <v>22418</v>
      </c>
      <c r="E71">
        <v>16122918</v>
      </c>
    </row>
    <row r="72" spans="1:5" x14ac:dyDescent="0.25">
      <c r="A72" t="s">
        <v>1619</v>
      </c>
      <c r="B72">
        <v>-1184331</v>
      </c>
      <c r="C72">
        <v>-18839708</v>
      </c>
      <c r="D72">
        <v>20355</v>
      </c>
      <c r="E72">
        <v>15801363</v>
      </c>
    </row>
    <row r="73" spans="1:5" x14ac:dyDescent="0.25">
      <c r="A73" t="s">
        <v>1620</v>
      </c>
      <c r="B73">
        <v>-2889700</v>
      </c>
      <c r="C73">
        <v>-18406242</v>
      </c>
      <c r="D73">
        <v>27753</v>
      </c>
      <c r="E73">
        <v>17299991</v>
      </c>
    </row>
    <row r="74" spans="1:5" x14ac:dyDescent="0.25">
      <c r="A74" t="s">
        <v>1621</v>
      </c>
      <c r="B74">
        <v>-907984</v>
      </c>
      <c r="C74">
        <v>-18406242</v>
      </c>
      <c r="D74">
        <v>30966</v>
      </c>
      <c r="E74">
        <v>15947953</v>
      </c>
    </row>
    <row r="75" spans="1:5" x14ac:dyDescent="0.25">
      <c r="A75" t="s">
        <v>1622</v>
      </c>
      <c r="B75">
        <v>288739</v>
      </c>
      <c r="C75">
        <v>-18406242</v>
      </c>
      <c r="D75">
        <v>30009</v>
      </c>
      <c r="E75">
        <v>14428952</v>
      </c>
    </row>
    <row r="76" spans="1:5" x14ac:dyDescent="0.25">
      <c r="A76" t="s">
        <v>1623</v>
      </c>
      <c r="B76">
        <v>1028224</v>
      </c>
      <c r="C76">
        <v>-18406242</v>
      </c>
      <c r="D76">
        <v>30160</v>
      </c>
      <c r="E76">
        <v>13442520</v>
      </c>
    </row>
    <row r="77" spans="1:5" x14ac:dyDescent="0.25">
      <c r="A77" t="s">
        <v>1624</v>
      </c>
      <c r="B77">
        <v>893756</v>
      </c>
      <c r="C77">
        <v>-18406242</v>
      </c>
      <c r="D77">
        <v>30102</v>
      </c>
      <c r="E77">
        <v>13366043</v>
      </c>
    </row>
    <row r="78" spans="1:5" x14ac:dyDescent="0.25">
      <c r="A78" t="s">
        <v>1625</v>
      </c>
      <c r="B78">
        <v>631928</v>
      </c>
      <c r="C78">
        <v>-18406242</v>
      </c>
      <c r="D78">
        <v>30113</v>
      </c>
      <c r="E78">
        <v>13522219</v>
      </c>
    </row>
    <row r="79" spans="1:5" x14ac:dyDescent="0.25">
      <c r="A79" t="s">
        <v>1626</v>
      </c>
      <c r="B79">
        <v>1058841</v>
      </c>
      <c r="C79">
        <v>-18406242</v>
      </c>
      <c r="D79">
        <v>30123</v>
      </c>
      <c r="E79">
        <v>13137180</v>
      </c>
    </row>
    <row r="80" spans="1:5" x14ac:dyDescent="0.25">
      <c r="A80" t="s">
        <v>1627</v>
      </c>
      <c r="B80">
        <v>299246</v>
      </c>
      <c r="C80">
        <v>-18406242</v>
      </c>
      <c r="D80">
        <v>29981</v>
      </c>
      <c r="E80">
        <v>14152689</v>
      </c>
    </row>
    <row r="81" spans="1:5" x14ac:dyDescent="0.25">
      <c r="A81" t="s">
        <v>1628</v>
      </c>
      <c r="B81">
        <v>862203</v>
      </c>
      <c r="C81">
        <v>-18406242</v>
      </c>
      <c r="D81">
        <v>29325</v>
      </c>
      <c r="E81">
        <v>13562100</v>
      </c>
    </row>
    <row r="82" spans="1:5" x14ac:dyDescent="0.25">
      <c r="A82" t="s">
        <v>1629</v>
      </c>
      <c r="B82">
        <v>1824907</v>
      </c>
      <c r="C82">
        <v>-18406242</v>
      </c>
      <c r="D82">
        <v>29949</v>
      </c>
      <c r="E82">
        <v>11871143</v>
      </c>
    </row>
    <row r="83" spans="1:5" x14ac:dyDescent="0.25">
      <c r="A83" t="s">
        <v>1630</v>
      </c>
      <c r="B83">
        <v>2206804</v>
      </c>
      <c r="C83">
        <v>-18406242</v>
      </c>
      <c r="D83">
        <v>29667</v>
      </c>
      <c r="E83">
        <v>11450958</v>
      </c>
    </row>
    <row r="84" spans="1:5" x14ac:dyDescent="0.25">
      <c r="A84" t="s">
        <v>1631</v>
      </c>
      <c r="B84">
        <v>1717044</v>
      </c>
      <c r="C84">
        <v>-18406242</v>
      </c>
      <c r="D84">
        <v>29667</v>
      </c>
      <c r="E84">
        <v>11851490</v>
      </c>
    </row>
    <row r="85" spans="1:5" x14ac:dyDescent="0.25">
      <c r="A85" t="s">
        <v>1632</v>
      </c>
      <c r="B85">
        <v>1670037</v>
      </c>
      <c r="C85">
        <v>-18406242</v>
      </c>
      <c r="D85">
        <v>29828</v>
      </c>
      <c r="E85">
        <v>11696957</v>
      </c>
    </row>
    <row r="86" spans="1:5" x14ac:dyDescent="0.25">
      <c r="A86" t="s">
        <v>1633</v>
      </c>
      <c r="B86">
        <v>2427990</v>
      </c>
      <c r="C86">
        <v>-18406242</v>
      </c>
      <c r="D86">
        <v>29144</v>
      </c>
      <c r="E86">
        <v>10729235</v>
      </c>
    </row>
    <row r="87" spans="1:5" x14ac:dyDescent="0.25">
      <c r="A87" t="s">
        <v>1634</v>
      </c>
      <c r="B87">
        <v>2243606</v>
      </c>
      <c r="C87">
        <v>-18406242</v>
      </c>
      <c r="D87">
        <v>29057</v>
      </c>
      <c r="E87">
        <v>10870989</v>
      </c>
    </row>
    <row r="88" spans="1:5" x14ac:dyDescent="0.25">
      <c r="A88" t="s">
        <v>1635</v>
      </c>
      <c r="B88">
        <v>4490351</v>
      </c>
      <c r="C88">
        <v>-18406242</v>
      </c>
      <c r="D88">
        <v>27816</v>
      </c>
      <c r="E88">
        <v>8335542</v>
      </c>
    </row>
    <row r="89" spans="1:5" x14ac:dyDescent="0.25">
      <c r="A89" t="s">
        <v>1636</v>
      </c>
      <c r="B89">
        <v>5313531</v>
      </c>
      <c r="C89">
        <v>-18406242</v>
      </c>
      <c r="D89">
        <v>28177</v>
      </c>
      <c r="E89">
        <v>7191051</v>
      </c>
    </row>
    <row r="90" spans="1:5" x14ac:dyDescent="0.25">
      <c r="A90" t="s">
        <v>1637</v>
      </c>
      <c r="B90">
        <v>4712913</v>
      </c>
      <c r="C90">
        <v>-18406242</v>
      </c>
      <c r="D90">
        <v>28540</v>
      </c>
      <c r="E90">
        <v>7704628</v>
      </c>
    </row>
    <row r="91" spans="1:5" x14ac:dyDescent="0.25">
      <c r="A91" t="s">
        <v>1638</v>
      </c>
      <c r="B91">
        <v>4787142</v>
      </c>
      <c r="C91">
        <v>-18406242</v>
      </c>
      <c r="D91">
        <v>28321</v>
      </c>
      <c r="E91">
        <v>7716224</v>
      </c>
    </row>
    <row r="92" spans="1:5" x14ac:dyDescent="0.25">
      <c r="A92" t="s">
        <v>1639</v>
      </c>
      <c r="B92">
        <v>5086171</v>
      </c>
      <c r="C92">
        <v>-18406242</v>
      </c>
      <c r="D92">
        <v>28062</v>
      </c>
      <c r="E92">
        <v>7463258</v>
      </c>
    </row>
    <row r="93" spans="1:5" x14ac:dyDescent="0.25">
      <c r="A93" t="s">
        <v>1640</v>
      </c>
      <c r="B93">
        <v>4953066</v>
      </c>
      <c r="C93">
        <v>-18406242</v>
      </c>
      <c r="D93">
        <v>25944</v>
      </c>
      <c r="E93">
        <v>7589943</v>
      </c>
    </row>
    <row r="94" spans="1:5" x14ac:dyDescent="0.25">
      <c r="A94" t="s">
        <v>1641</v>
      </c>
      <c r="B94">
        <v>4867399</v>
      </c>
      <c r="C94">
        <v>-18406242</v>
      </c>
      <c r="D94">
        <v>28817</v>
      </c>
      <c r="E94">
        <v>7294585</v>
      </c>
    </row>
    <row r="95" spans="1:5" x14ac:dyDescent="0.25">
      <c r="A95" t="s">
        <v>1642</v>
      </c>
      <c r="B95">
        <v>3701717</v>
      </c>
      <c r="C95">
        <v>-18406242</v>
      </c>
      <c r="D95">
        <v>29329</v>
      </c>
      <c r="E95">
        <v>8352020</v>
      </c>
    </row>
    <row r="96" spans="1:5" x14ac:dyDescent="0.25">
      <c r="A96" t="s">
        <v>1643</v>
      </c>
      <c r="B96">
        <v>3898782</v>
      </c>
      <c r="C96">
        <v>-23881579</v>
      </c>
      <c r="D96">
        <v>26909</v>
      </c>
      <c r="E96">
        <v>6924307</v>
      </c>
    </row>
    <row r="97" spans="1:5" x14ac:dyDescent="0.25">
      <c r="A97" t="s">
        <v>1644</v>
      </c>
      <c r="B97">
        <v>3371698</v>
      </c>
      <c r="C97">
        <v>-23881579</v>
      </c>
      <c r="D97">
        <v>27478</v>
      </c>
      <c r="E97">
        <v>7673524</v>
      </c>
    </row>
    <row r="98" spans="1:5" x14ac:dyDescent="0.25">
      <c r="A98" t="s">
        <v>1645</v>
      </c>
      <c r="B98">
        <v>3371381</v>
      </c>
      <c r="C98">
        <v>-23881579</v>
      </c>
      <c r="D98">
        <v>27767</v>
      </c>
      <c r="E98">
        <v>7465912</v>
      </c>
    </row>
    <row r="99" spans="1:5" x14ac:dyDescent="0.25">
      <c r="A99" t="s">
        <v>1646</v>
      </c>
      <c r="B99">
        <v>4695997</v>
      </c>
      <c r="C99">
        <v>-23881579</v>
      </c>
      <c r="D99">
        <v>27367</v>
      </c>
      <c r="E99">
        <v>5730729</v>
      </c>
    </row>
    <row r="100" spans="1:5" x14ac:dyDescent="0.25">
      <c r="A100" t="s">
        <v>1647</v>
      </c>
      <c r="B100">
        <v>4666423</v>
      </c>
      <c r="C100">
        <v>-23881579</v>
      </c>
      <c r="D100">
        <v>26996</v>
      </c>
      <c r="E100">
        <v>5798687</v>
      </c>
    </row>
    <row r="101" spans="1:5" x14ac:dyDescent="0.25">
      <c r="A101" t="s">
        <v>1648</v>
      </c>
      <c r="B101">
        <v>4533348</v>
      </c>
      <c r="C101">
        <v>-23881579</v>
      </c>
      <c r="D101">
        <v>27406</v>
      </c>
      <c r="E101">
        <v>5717405</v>
      </c>
    </row>
    <row r="102" spans="1:5" x14ac:dyDescent="0.25">
      <c r="A102" t="s">
        <v>1649</v>
      </c>
      <c r="B102">
        <v>4696640</v>
      </c>
      <c r="C102">
        <v>-23881579</v>
      </c>
      <c r="D102">
        <v>27404</v>
      </c>
      <c r="E102">
        <v>5582390</v>
      </c>
    </row>
    <row r="103" spans="1:5" x14ac:dyDescent="0.25">
      <c r="A103" t="s">
        <v>1650</v>
      </c>
      <c r="B103">
        <v>5084942</v>
      </c>
      <c r="C103">
        <v>-23881579</v>
      </c>
      <c r="D103">
        <v>28064</v>
      </c>
      <c r="E103">
        <v>4922410</v>
      </c>
    </row>
    <row r="104" spans="1:5" x14ac:dyDescent="0.25">
      <c r="A104" t="s">
        <v>1651</v>
      </c>
      <c r="B104">
        <v>5380201</v>
      </c>
      <c r="C104">
        <v>-23881579</v>
      </c>
      <c r="D104">
        <v>25389</v>
      </c>
      <c r="E104">
        <v>4833910</v>
      </c>
    </row>
    <row r="105" spans="1:5" x14ac:dyDescent="0.25">
      <c r="A105" t="s">
        <v>1652</v>
      </c>
      <c r="B105">
        <v>5220358</v>
      </c>
      <c r="C105">
        <v>-23881579</v>
      </c>
      <c r="D105">
        <v>28004</v>
      </c>
      <c r="E105">
        <v>4570936</v>
      </c>
    </row>
    <row r="106" spans="1:5" x14ac:dyDescent="0.25">
      <c r="A106" t="s">
        <v>1653</v>
      </c>
      <c r="B106">
        <v>5044712</v>
      </c>
      <c r="C106">
        <v>-23881579</v>
      </c>
      <c r="D106">
        <v>28191</v>
      </c>
      <c r="E106">
        <v>4625800</v>
      </c>
    </row>
    <row r="107" spans="1:5" x14ac:dyDescent="0.25">
      <c r="A107" t="s">
        <v>1654</v>
      </c>
      <c r="B107">
        <v>5623072</v>
      </c>
      <c r="C107">
        <v>-23881579</v>
      </c>
      <c r="D107">
        <v>27576</v>
      </c>
      <c r="E107">
        <v>4071943</v>
      </c>
    </row>
    <row r="108" spans="1:5" x14ac:dyDescent="0.25">
      <c r="A108" t="s">
        <v>1655</v>
      </c>
      <c r="B108">
        <v>5799758</v>
      </c>
      <c r="C108">
        <v>-23881579</v>
      </c>
      <c r="D108">
        <v>27682</v>
      </c>
      <c r="E108">
        <v>3730891</v>
      </c>
    </row>
    <row r="109" spans="1:5" x14ac:dyDescent="0.25">
      <c r="A109" t="s">
        <v>1656</v>
      </c>
      <c r="B109">
        <v>5954719</v>
      </c>
      <c r="C109">
        <v>-23881579</v>
      </c>
      <c r="D109">
        <v>27812</v>
      </c>
      <c r="E109">
        <v>3470937</v>
      </c>
    </row>
    <row r="110" spans="1:5" x14ac:dyDescent="0.25">
      <c r="A110" t="s">
        <v>1657</v>
      </c>
      <c r="B110">
        <v>5931019</v>
      </c>
      <c r="C110">
        <v>-23881579</v>
      </c>
      <c r="D110">
        <v>28276</v>
      </c>
      <c r="E110">
        <v>3262159</v>
      </c>
    </row>
    <row r="111" spans="1:5" x14ac:dyDescent="0.25">
      <c r="A111" t="s">
        <v>1658</v>
      </c>
      <c r="B111">
        <v>5930195</v>
      </c>
      <c r="C111">
        <v>-23881579</v>
      </c>
      <c r="D111">
        <v>29103</v>
      </c>
      <c r="E111">
        <v>3174385</v>
      </c>
    </row>
    <row r="112" spans="1:5" x14ac:dyDescent="0.25">
      <c r="A112" t="s">
        <v>1659</v>
      </c>
      <c r="B112">
        <v>5182611</v>
      </c>
      <c r="C112">
        <v>-23881579</v>
      </c>
      <c r="D112">
        <v>28753</v>
      </c>
      <c r="E112">
        <v>4217474</v>
      </c>
    </row>
    <row r="113" spans="1:5" x14ac:dyDescent="0.25">
      <c r="A113" t="s">
        <v>1660</v>
      </c>
      <c r="B113">
        <v>5799237</v>
      </c>
      <c r="C113">
        <v>-23881579</v>
      </c>
      <c r="D113">
        <v>29093</v>
      </c>
      <c r="E113">
        <v>3182095</v>
      </c>
    </row>
    <row r="114" spans="1:5" x14ac:dyDescent="0.25">
      <c r="A114" t="s">
        <v>1661</v>
      </c>
      <c r="B114">
        <v>5065146</v>
      </c>
      <c r="C114">
        <v>-23881579</v>
      </c>
      <c r="D114">
        <v>28524</v>
      </c>
      <c r="E114">
        <v>4226651</v>
      </c>
    </row>
    <row r="115" spans="1:5" x14ac:dyDescent="0.25">
      <c r="A115" t="s">
        <v>1662</v>
      </c>
      <c r="B115">
        <v>5166859</v>
      </c>
      <c r="C115">
        <v>-23881579</v>
      </c>
      <c r="D115">
        <v>28347</v>
      </c>
      <c r="E115">
        <v>4248668</v>
      </c>
    </row>
    <row r="116" spans="1:5" x14ac:dyDescent="0.25">
      <c r="A116" t="s">
        <v>1663</v>
      </c>
      <c r="B116">
        <v>5627025</v>
      </c>
      <c r="C116">
        <v>-30956055</v>
      </c>
      <c r="D116">
        <v>37168</v>
      </c>
      <c r="E116">
        <v>857995</v>
      </c>
    </row>
    <row r="117" spans="1:5" x14ac:dyDescent="0.25">
      <c r="A117" t="s">
        <v>1664</v>
      </c>
      <c r="B117">
        <v>5327488</v>
      </c>
      <c r="C117">
        <v>-30956055</v>
      </c>
      <c r="D117">
        <v>37578</v>
      </c>
      <c r="E117">
        <v>665779</v>
      </c>
    </row>
    <row r="118" spans="1:5" x14ac:dyDescent="0.25">
      <c r="A118" t="s">
        <v>1665</v>
      </c>
      <c r="B118">
        <v>5761446</v>
      </c>
      <c r="C118">
        <v>-30956055</v>
      </c>
      <c r="D118">
        <v>37639</v>
      </c>
      <c r="E118">
        <v>113729</v>
      </c>
    </row>
    <row r="119" spans="1:5" x14ac:dyDescent="0.25">
      <c r="A119" t="s">
        <v>1666</v>
      </c>
      <c r="B119">
        <v>6673600</v>
      </c>
      <c r="C119">
        <v>-30956055</v>
      </c>
      <c r="D119">
        <v>38416</v>
      </c>
      <c r="E119">
        <v>-1613684</v>
      </c>
    </row>
    <row r="120" spans="1:5" x14ac:dyDescent="0.25">
      <c r="A120" t="s">
        <v>1667</v>
      </c>
      <c r="B120">
        <v>6401512</v>
      </c>
      <c r="C120">
        <v>-30956055</v>
      </c>
      <c r="D120">
        <v>38422</v>
      </c>
      <c r="E120">
        <v>-1330251</v>
      </c>
    </row>
    <row r="121" spans="1:5" x14ac:dyDescent="0.25">
      <c r="A121" t="s">
        <v>1668</v>
      </c>
      <c r="B121">
        <v>6799203</v>
      </c>
      <c r="C121">
        <v>-30956055</v>
      </c>
      <c r="D121">
        <v>39192</v>
      </c>
      <c r="E121">
        <v>-2065261</v>
      </c>
    </row>
    <row r="122" spans="1:5" x14ac:dyDescent="0.25">
      <c r="A122" t="s">
        <v>1669</v>
      </c>
      <c r="B122">
        <v>6613277</v>
      </c>
      <c r="C122">
        <v>-30956055</v>
      </c>
      <c r="D122">
        <v>39250</v>
      </c>
      <c r="E122">
        <v>-2226415</v>
      </c>
    </row>
    <row r="123" spans="1:5" x14ac:dyDescent="0.25">
      <c r="A123" t="s">
        <v>1670</v>
      </c>
      <c r="B123">
        <v>7366930</v>
      </c>
      <c r="C123">
        <v>-30956055</v>
      </c>
      <c r="D123">
        <v>39350</v>
      </c>
      <c r="E123">
        <v>-3212335</v>
      </c>
    </row>
    <row r="124" spans="1:5" x14ac:dyDescent="0.25">
      <c r="A124" t="s">
        <v>1671</v>
      </c>
      <c r="B124">
        <v>8015613</v>
      </c>
      <c r="C124">
        <v>-30956055</v>
      </c>
      <c r="D124">
        <v>37715</v>
      </c>
      <c r="E124">
        <v>-3693761</v>
      </c>
    </row>
    <row r="125" spans="1:5" x14ac:dyDescent="0.25">
      <c r="A125" t="s">
        <v>1672</v>
      </c>
      <c r="B125">
        <v>7913375</v>
      </c>
      <c r="C125">
        <v>-30956055</v>
      </c>
      <c r="D125">
        <v>39551</v>
      </c>
      <c r="E125">
        <v>-3903271</v>
      </c>
    </row>
    <row r="126" spans="1:5" x14ac:dyDescent="0.25">
      <c r="A126" t="s">
        <v>1673</v>
      </c>
      <c r="B126">
        <v>8471887</v>
      </c>
      <c r="C126">
        <v>-30956055</v>
      </c>
      <c r="D126">
        <v>39388</v>
      </c>
      <c r="E126">
        <v>-4612849</v>
      </c>
    </row>
    <row r="127" spans="1:5" x14ac:dyDescent="0.25">
      <c r="A127" t="s">
        <v>1674</v>
      </c>
      <c r="B127">
        <v>8682104</v>
      </c>
      <c r="C127">
        <v>-30956055</v>
      </c>
      <c r="D127">
        <v>39592</v>
      </c>
      <c r="E127">
        <v>-4709268</v>
      </c>
    </row>
    <row r="128" spans="1:5" x14ac:dyDescent="0.25">
      <c r="A128" t="s">
        <v>1675</v>
      </c>
      <c r="B128">
        <v>8009027</v>
      </c>
      <c r="C128">
        <v>-30956055</v>
      </c>
      <c r="D128">
        <v>39146</v>
      </c>
      <c r="E128">
        <v>-4034662</v>
      </c>
    </row>
    <row r="129" spans="1:5" x14ac:dyDescent="0.25">
      <c r="A129" t="s">
        <v>1676</v>
      </c>
      <c r="B129">
        <v>7710188</v>
      </c>
      <c r="C129">
        <v>-30956055</v>
      </c>
      <c r="D129">
        <v>38708</v>
      </c>
      <c r="E129">
        <v>-3604269</v>
      </c>
    </row>
    <row r="130" spans="1:5" x14ac:dyDescent="0.25">
      <c r="A130" t="s">
        <v>1677</v>
      </c>
      <c r="B130">
        <v>8292524</v>
      </c>
      <c r="C130">
        <v>-30956055</v>
      </c>
      <c r="D130">
        <v>38880</v>
      </c>
      <c r="E130">
        <v>-4332281</v>
      </c>
    </row>
    <row r="131" spans="1:5" x14ac:dyDescent="0.25">
      <c r="A131" t="s">
        <v>1678</v>
      </c>
      <c r="B131">
        <v>8386422</v>
      </c>
      <c r="C131">
        <v>-30956055</v>
      </c>
      <c r="D131">
        <v>38537</v>
      </c>
      <c r="E131">
        <v>-4421158</v>
      </c>
    </row>
    <row r="132" spans="1:5" x14ac:dyDescent="0.25">
      <c r="A132" t="s">
        <v>1679</v>
      </c>
      <c r="B132">
        <v>8072184</v>
      </c>
      <c r="C132">
        <v>-30956055</v>
      </c>
      <c r="D132">
        <v>38622</v>
      </c>
      <c r="E132">
        <v>-4031020</v>
      </c>
    </row>
    <row r="133" spans="1:5" x14ac:dyDescent="0.25">
      <c r="A133" t="s">
        <v>1680</v>
      </c>
      <c r="B133">
        <v>7989176</v>
      </c>
      <c r="C133">
        <v>-30956055</v>
      </c>
      <c r="D133">
        <v>38447</v>
      </c>
      <c r="E133">
        <v>-3891421</v>
      </c>
    </row>
    <row r="134" spans="1:5" x14ac:dyDescent="0.25">
      <c r="A134" t="s">
        <v>1681</v>
      </c>
      <c r="B134">
        <v>7461856</v>
      </c>
      <c r="C134">
        <v>-30956055</v>
      </c>
      <c r="D134">
        <v>37824</v>
      </c>
      <c r="E134">
        <v>-3268670</v>
      </c>
    </row>
    <row r="135" spans="1:5" x14ac:dyDescent="0.25">
      <c r="A135" t="s">
        <v>1682</v>
      </c>
      <c r="B135">
        <v>7597504</v>
      </c>
      <c r="C135">
        <v>-30956055</v>
      </c>
      <c r="D135">
        <v>37598</v>
      </c>
      <c r="E135">
        <v>-3283550</v>
      </c>
    </row>
    <row r="136" spans="1:5" x14ac:dyDescent="0.25">
      <c r="A136" t="s">
        <v>1683</v>
      </c>
      <c r="B136">
        <v>7986340</v>
      </c>
      <c r="C136">
        <v>-30956055</v>
      </c>
      <c r="D136">
        <v>37490</v>
      </c>
      <c r="E136">
        <v>-3925464</v>
      </c>
    </row>
    <row r="137" spans="1:5" x14ac:dyDescent="0.25">
      <c r="A137" t="s">
        <v>1684</v>
      </c>
      <c r="B137">
        <v>7953886</v>
      </c>
      <c r="C137">
        <v>-30956055</v>
      </c>
      <c r="D137">
        <v>38006</v>
      </c>
      <c r="E137">
        <v>-4134382</v>
      </c>
    </row>
    <row r="138" spans="1:5" x14ac:dyDescent="0.25">
      <c r="A138" t="s">
        <v>1685</v>
      </c>
      <c r="B138">
        <v>8172276</v>
      </c>
      <c r="C138">
        <v>-30956055</v>
      </c>
      <c r="D138">
        <v>38369</v>
      </c>
      <c r="E138">
        <v>-4519447</v>
      </c>
    </row>
    <row r="139" spans="1:5" x14ac:dyDescent="0.25">
      <c r="A139" t="s">
        <v>1686</v>
      </c>
      <c r="B139">
        <v>8072992</v>
      </c>
      <c r="C139">
        <v>-30956055</v>
      </c>
      <c r="D139">
        <v>38573</v>
      </c>
      <c r="E139">
        <v>-4402021</v>
      </c>
    </row>
    <row r="140" spans="1:5" x14ac:dyDescent="0.25">
      <c r="A140" t="s">
        <v>1687</v>
      </c>
      <c r="B140">
        <v>8506500</v>
      </c>
      <c r="C140">
        <v>-30956055</v>
      </c>
      <c r="D140">
        <v>38636</v>
      </c>
      <c r="E140">
        <v>-5057117</v>
      </c>
    </row>
    <row r="141" spans="1:5" x14ac:dyDescent="0.25">
      <c r="A141" t="s">
        <v>1688</v>
      </c>
      <c r="B141">
        <v>8177524</v>
      </c>
      <c r="C141">
        <v>-30956055</v>
      </c>
      <c r="D141">
        <v>38897</v>
      </c>
      <c r="E141">
        <v>-5005254</v>
      </c>
    </row>
    <row r="142" spans="1:5" x14ac:dyDescent="0.25">
      <c r="A142" t="s">
        <v>1689</v>
      </c>
      <c r="B142">
        <v>8255091</v>
      </c>
      <c r="C142">
        <v>-30956055</v>
      </c>
      <c r="D142">
        <v>38549</v>
      </c>
      <c r="E142">
        <v>-5067012</v>
      </c>
    </row>
    <row r="143" spans="1:5" x14ac:dyDescent="0.25">
      <c r="A143" t="s">
        <v>1690</v>
      </c>
      <c r="B143">
        <v>8311341</v>
      </c>
      <c r="C143">
        <v>-30956055</v>
      </c>
      <c r="D143">
        <v>37627</v>
      </c>
      <c r="E143">
        <v>-4899921</v>
      </c>
    </row>
    <row r="144" spans="1:5" x14ac:dyDescent="0.25">
      <c r="A144" t="s">
        <v>1691</v>
      </c>
      <c r="B144">
        <v>8009156</v>
      </c>
      <c r="C144">
        <v>-30956055</v>
      </c>
      <c r="D144">
        <v>36551</v>
      </c>
      <c r="E144">
        <v>-4346594</v>
      </c>
    </row>
    <row r="145" spans="1:5" x14ac:dyDescent="0.25">
      <c r="A145" t="s">
        <v>1692</v>
      </c>
      <c r="B145">
        <v>7828770</v>
      </c>
      <c r="C145">
        <v>-30956055</v>
      </c>
      <c r="D145">
        <v>36133</v>
      </c>
      <c r="E145">
        <v>-4002169</v>
      </c>
    </row>
    <row r="146" spans="1:5" x14ac:dyDescent="0.25">
      <c r="A146" t="s">
        <v>1693</v>
      </c>
      <c r="B146">
        <v>7899634</v>
      </c>
      <c r="C146">
        <v>-30956055</v>
      </c>
      <c r="D146">
        <v>35783</v>
      </c>
      <c r="E146">
        <v>-3919350</v>
      </c>
    </row>
    <row r="147" spans="1:5" x14ac:dyDescent="0.25">
      <c r="A147" t="s">
        <v>1694</v>
      </c>
      <c r="B147">
        <v>6711694</v>
      </c>
      <c r="C147">
        <v>-35864786</v>
      </c>
      <c r="D147">
        <v>114366</v>
      </c>
      <c r="E147">
        <v>-3097863</v>
      </c>
    </row>
    <row r="148" spans="1:5" x14ac:dyDescent="0.25">
      <c r="A148" t="s">
        <v>1695</v>
      </c>
      <c r="B148">
        <v>7550619</v>
      </c>
      <c r="C148">
        <v>-35864786</v>
      </c>
      <c r="D148">
        <v>113094</v>
      </c>
      <c r="E148">
        <v>-3955204</v>
      </c>
    </row>
    <row r="149" spans="1:5" x14ac:dyDescent="0.25">
      <c r="A149" t="s">
        <v>1696</v>
      </c>
      <c r="B149">
        <v>7633284</v>
      </c>
      <c r="C149">
        <v>-35864786</v>
      </c>
      <c r="D149">
        <v>114171</v>
      </c>
      <c r="E149">
        <v>-4520099</v>
      </c>
    </row>
    <row r="150" spans="1:5" x14ac:dyDescent="0.25">
      <c r="A150" t="s">
        <v>1697</v>
      </c>
      <c r="B150">
        <v>7558780</v>
      </c>
      <c r="C150">
        <v>-35864786</v>
      </c>
      <c r="D150">
        <v>114720</v>
      </c>
      <c r="E150">
        <v>-4704128</v>
      </c>
    </row>
    <row r="151" spans="1:5" x14ac:dyDescent="0.25">
      <c r="A151" t="s">
        <v>1698</v>
      </c>
      <c r="B151">
        <v>7329509</v>
      </c>
      <c r="C151">
        <v>-35864786</v>
      </c>
      <c r="D151">
        <v>114598</v>
      </c>
      <c r="E151">
        <v>-4750324</v>
      </c>
    </row>
    <row r="152" spans="1:5" x14ac:dyDescent="0.25">
      <c r="A152" t="s">
        <v>1699</v>
      </c>
      <c r="B152">
        <v>7728130</v>
      </c>
      <c r="C152">
        <v>-35864786</v>
      </c>
      <c r="D152">
        <v>114866</v>
      </c>
      <c r="E152">
        <v>-5520052</v>
      </c>
    </row>
    <row r="153" spans="1:5" x14ac:dyDescent="0.25">
      <c r="A153" t="s">
        <v>1700</v>
      </c>
      <c r="B153">
        <v>7620949</v>
      </c>
      <c r="C153">
        <v>-35864786</v>
      </c>
      <c r="D153">
        <v>114022</v>
      </c>
      <c r="E153">
        <v>-5321011</v>
      </c>
    </row>
    <row r="154" spans="1:5" x14ac:dyDescent="0.25">
      <c r="A154" t="s">
        <v>1701</v>
      </c>
      <c r="B154">
        <v>8213914</v>
      </c>
      <c r="C154">
        <v>-35864786</v>
      </c>
      <c r="D154">
        <v>114573</v>
      </c>
      <c r="E154">
        <v>-6285845</v>
      </c>
    </row>
    <row r="155" spans="1:5" x14ac:dyDescent="0.25">
      <c r="A155" t="s">
        <v>1702</v>
      </c>
      <c r="B155">
        <v>8508033</v>
      </c>
      <c r="C155">
        <v>-35864786</v>
      </c>
      <c r="D155">
        <v>115114</v>
      </c>
      <c r="E155">
        <v>-6950064</v>
      </c>
    </row>
    <row r="156" spans="1:5" x14ac:dyDescent="0.25">
      <c r="A156" t="s">
        <v>1703</v>
      </c>
      <c r="B156">
        <v>8256026</v>
      </c>
      <c r="C156">
        <v>-35864786</v>
      </c>
      <c r="D156">
        <v>114442</v>
      </c>
      <c r="E156">
        <v>-6552077</v>
      </c>
    </row>
    <row r="157" spans="1:5" x14ac:dyDescent="0.25">
      <c r="A157" t="s">
        <v>1704</v>
      </c>
      <c r="B157">
        <v>8127688</v>
      </c>
      <c r="C157">
        <v>-35864786</v>
      </c>
      <c r="D157">
        <v>114881</v>
      </c>
      <c r="E157">
        <v>-6717451</v>
      </c>
    </row>
    <row r="158" spans="1:5" x14ac:dyDescent="0.25">
      <c r="A158" t="s">
        <v>1705</v>
      </c>
      <c r="B158">
        <v>8185654</v>
      </c>
      <c r="C158">
        <v>-35864786</v>
      </c>
      <c r="D158">
        <v>114160</v>
      </c>
      <c r="E158">
        <v>-6728624</v>
      </c>
    </row>
    <row r="159" spans="1:5" x14ac:dyDescent="0.25">
      <c r="A159" t="s">
        <v>1706</v>
      </c>
      <c r="B159">
        <v>7817881</v>
      </c>
      <c r="C159">
        <v>-35864786</v>
      </c>
      <c r="D159">
        <v>114162</v>
      </c>
      <c r="E159">
        <v>-6409433</v>
      </c>
    </row>
    <row r="160" spans="1:5" x14ac:dyDescent="0.25">
      <c r="A160" t="s">
        <v>1707</v>
      </c>
      <c r="B160">
        <v>7840098</v>
      </c>
      <c r="C160">
        <v>-35864786</v>
      </c>
      <c r="D160">
        <v>113988</v>
      </c>
      <c r="E160">
        <v>-6145248</v>
      </c>
    </row>
    <row r="161" spans="1:5" x14ac:dyDescent="0.25">
      <c r="A161" t="s">
        <v>1708</v>
      </c>
      <c r="B161">
        <v>7692326</v>
      </c>
      <c r="C161">
        <v>-35864786</v>
      </c>
      <c r="D161">
        <v>113432</v>
      </c>
      <c r="E161">
        <v>-5732024</v>
      </c>
    </row>
    <row r="162" spans="1:5" x14ac:dyDescent="0.25">
      <c r="A162" t="s">
        <v>1709</v>
      </c>
      <c r="B162">
        <v>8886442</v>
      </c>
      <c r="C162">
        <v>-35864786</v>
      </c>
      <c r="D162">
        <v>114387</v>
      </c>
      <c r="E162">
        <v>-7699846</v>
      </c>
    </row>
    <row r="163" spans="1:5" x14ac:dyDescent="0.25">
      <c r="A163" t="s">
        <v>1710</v>
      </c>
      <c r="B163">
        <v>8701407</v>
      </c>
      <c r="C163">
        <v>-35864786</v>
      </c>
      <c r="D163">
        <v>113867</v>
      </c>
      <c r="E163">
        <v>-7552909</v>
      </c>
    </row>
    <row r="164" spans="1:5" x14ac:dyDescent="0.25">
      <c r="A164" t="s">
        <v>1711</v>
      </c>
      <c r="B164">
        <v>9232729</v>
      </c>
      <c r="C164">
        <v>-35864786</v>
      </c>
      <c r="D164">
        <v>113423</v>
      </c>
      <c r="E164">
        <v>-7615459</v>
      </c>
    </row>
    <row r="165" spans="1:5" x14ac:dyDescent="0.25">
      <c r="A165" t="s">
        <v>1712</v>
      </c>
      <c r="B165">
        <v>9377075</v>
      </c>
      <c r="C165">
        <v>-35864786</v>
      </c>
      <c r="D165">
        <v>112725</v>
      </c>
      <c r="E165">
        <v>-7170747</v>
      </c>
    </row>
    <row r="166" spans="1:5" x14ac:dyDescent="0.25">
      <c r="A166" t="s">
        <v>1713</v>
      </c>
      <c r="B166">
        <v>8971975</v>
      </c>
      <c r="C166">
        <v>-35864786</v>
      </c>
      <c r="D166">
        <v>113433</v>
      </c>
      <c r="E166">
        <v>-7458591</v>
      </c>
    </row>
    <row r="167" spans="1:5" x14ac:dyDescent="0.25">
      <c r="A167" t="s">
        <v>1714</v>
      </c>
      <c r="B167">
        <v>8848193</v>
      </c>
      <c r="C167">
        <v>-35864786</v>
      </c>
      <c r="D167">
        <v>113698</v>
      </c>
      <c r="E167">
        <v>-7138306</v>
      </c>
    </row>
    <row r="168" spans="1:5" x14ac:dyDescent="0.25">
      <c r="A168" t="s">
        <v>1715</v>
      </c>
      <c r="B168">
        <v>8467104</v>
      </c>
      <c r="C168">
        <v>-39442287</v>
      </c>
      <c r="D168">
        <v>118952</v>
      </c>
      <c r="E168">
        <v>-298263</v>
      </c>
    </row>
    <row r="169" spans="1:5" x14ac:dyDescent="0.25">
      <c r="A169" t="s">
        <v>1716</v>
      </c>
      <c r="B169">
        <v>9338564</v>
      </c>
      <c r="C169">
        <v>-39442287</v>
      </c>
      <c r="D169">
        <v>118907</v>
      </c>
      <c r="E169">
        <v>-481050</v>
      </c>
    </row>
    <row r="170" spans="1:5" x14ac:dyDescent="0.25">
      <c r="A170" t="s">
        <v>1717</v>
      </c>
      <c r="B170">
        <v>8810302</v>
      </c>
      <c r="C170">
        <v>-39442287</v>
      </c>
      <c r="D170">
        <v>118830</v>
      </c>
      <c r="E170">
        <v>-671524</v>
      </c>
    </row>
    <row r="171" spans="1:5" x14ac:dyDescent="0.25">
      <c r="A171" t="s">
        <v>1718</v>
      </c>
      <c r="B171">
        <v>9479643</v>
      </c>
      <c r="C171">
        <v>-39442287</v>
      </c>
      <c r="D171">
        <v>118372</v>
      </c>
      <c r="E171">
        <v>-1813658</v>
      </c>
    </row>
    <row r="172" spans="1:5" x14ac:dyDescent="0.25">
      <c r="A172" t="s">
        <v>1719</v>
      </c>
      <c r="B172">
        <v>9097260</v>
      </c>
      <c r="C172">
        <v>-39442287</v>
      </c>
      <c r="D172">
        <v>119625</v>
      </c>
      <c r="E172">
        <v>-1793965</v>
      </c>
    </row>
    <row r="173" spans="1:5" x14ac:dyDescent="0.25">
      <c r="A173" t="s">
        <v>1720</v>
      </c>
      <c r="B173">
        <v>8750128</v>
      </c>
      <c r="C173">
        <v>-39442287</v>
      </c>
      <c r="D173">
        <v>119489</v>
      </c>
      <c r="E173">
        <v>-1906998</v>
      </c>
    </row>
    <row r="174" spans="1:5" x14ac:dyDescent="0.25">
      <c r="A174" t="s">
        <v>1721</v>
      </c>
      <c r="B174">
        <v>8674109</v>
      </c>
      <c r="C174">
        <v>-39442287</v>
      </c>
      <c r="D174">
        <v>119230</v>
      </c>
      <c r="E174">
        <v>-1835061</v>
      </c>
    </row>
    <row r="175" spans="1:5" x14ac:dyDescent="0.25">
      <c r="A175" t="s">
        <v>1722</v>
      </c>
      <c r="B175">
        <v>9075422</v>
      </c>
      <c r="C175">
        <v>-39442287</v>
      </c>
      <c r="D175">
        <v>119093</v>
      </c>
      <c r="E175">
        <v>-2523108</v>
      </c>
    </row>
    <row r="176" spans="1:5" x14ac:dyDescent="0.25">
      <c r="A176" t="s">
        <v>1723</v>
      </c>
      <c r="B176">
        <v>9592216</v>
      </c>
      <c r="C176">
        <v>-39442287</v>
      </c>
      <c r="D176">
        <v>119019</v>
      </c>
      <c r="E176">
        <v>-3817308</v>
      </c>
    </row>
    <row r="177" spans="1:5" x14ac:dyDescent="0.25">
      <c r="A177" t="s">
        <v>1724</v>
      </c>
      <c r="B177">
        <v>9440225</v>
      </c>
      <c r="C177">
        <v>-39442287</v>
      </c>
      <c r="D177">
        <v>118924</v>
      </c>
      <c r="E177">
        <v>-3732162</v>
      </c>
    </row>
    <row r="178" spans="1:5" x14ac:dyDescent="0.25">
      <c r="A178" t="s">
        <v>1725</v>
      </c>
      <c r="B178">
        <v>9935947</v>
      </c>
      <c r="C178">
        <v>-39442287</v>
      </c>
      <c r="D178">
        <v>119077</v>
      </c>
      <c r="E178">
        <v>-4804890</v>
      </c>
    </row>
    <row r="179" spans="1:5" x14ac:dyDescent="0.25">
      <c r="A179" t="s">
        <v>1726</v>
      </c>
      <c r="B179">
        <v>10116414</v>
      </c>
      <c r="C179">
        <v>-39442287</v>
      </c>
      <c r="D179">
        <v>120194</v>
      </c>
      <c r="E179">
        <v>-5035110</v>
      </c>
    </row>
    <row r="180" spans="1:5" x14ac:dyDescent="0.25">
      <c r="A180" t="s">
        <v>1727</v>
      </c>
      <c r="B180">
        <v>9612261</v>
      </c>
      <c r="C180">
        <v>-39442287</v>
      </c>
      <c r="D180">
        <v>120088</v>
      </c>
      <c r="E180">
        <v>-4594875</v>
      </c>
    </row>
    <row r="181" spans="1:5" x14ac:dyDescent="0.25">
      <c r="A181" t="s">
        <v>1728</v>
      </c>
      <c r="B181">
        <v>10342951</v>
      </c>
      <c r="C181">
        <v>-39442287</v>
      </c>
      <c r="D181">
        <v>119061</v>
      </c>
      <c r="E181">
        <v>-5434289</v>
      </c>
    </row>
    <row r="182" spans="1:5" x14ac:dyDescent="0.25">
      <c r="A182" t="s">
        <v>1729</v>
      </c>
      <c r="B182">
        <v>10251493</v>
      </c>
      <c r="C182">
        <v>-39442287</v>
      </c>
      <c r="D182">
        <v>118747</v>
      </c>
      <c r="E182">
        <v>-5232863</v>
      </c>
    </row>
    <row r="183" spans="1:5" x14ac:dyDescent="0.25">
      <c r="A183" t="s">
        <v>1730</v>
      </c>
      <c r="B183">
        <v>10370446</v>
      </c>
      <c r="C183">
        <v>-39442287</v>
      </c>
      <c r="D183">
        <v>118678</v>
      </c>
      <c r="E183">
        <v>-5554224</v>
      </c>
    </row>
    <row r="184" spans="1:5" x14ac:dyDescent="0.25">
      <c r="A184" t="s">
        <v>1731</v>
      </c>
      <c r="B184">
        <v>9844465</v>
      </c>
      <c r="C184">
        <v>-39442287</v>
      </c>
      <c r="D184">
        <v>118902</v>
      </c>
      <c r="E184">
        <v>-5447500</v>
      </c>
    </row>
    <row r="185" spans="1:5" x14ac:dyDescent="0.25">
      <c r="A185" t="s">
        <v>1732</v>
      </c>
      <c r="B185">
        <v>9787933</v>
      </c>
      <c r="C185">
        <v>-39442287</v>
      </c>
      <c r="D185">
        <v>118147</v>
      </c>
      <c r="E185">
        <v>-5076499</v>
      </c>
    </row>
    <row r="186" spans="1:5" x14ac:dyDescent="0.25">
      <c r="A186" t="s">
        <v>1733</v>
      </c>
      <c r="B186">
        <v>9635474</v>
      </c>
      <c r="C186">
        <v>-44047373</v>
      </c>
      <c r="D186">
        <v>125614</v>
      </c>
      <c r="E186">
        <v>-8088210</v>
      </c>
    </row>
    <row r="187" spans="1:5" x14ac:dyDescent="0.25">
      <c r="A187" t="s">
        <v>1734</v>
      </c>
      <c r="B187">
        <v>10135758</v>
      </c>
      <c r="C187">
        <v>-44047373</v>
      </c>
      <c r="D187">
        <v>125713</v>
      </c>
      <c r="E187">
        <v>-8957203</v>
      </c>
    </row>
    <row r="188" spans="1:5" x14ac:dyDescent="0.25">
      <c r="A188" t="s">
        <v>1735</v>
      </c>
      <c r="B188">
        <v>10735436</v>
      </c>
      <c r="C188">
        <v>-44047373</v>
      </c>
      <c r="D188">
        <v>125914</v>
      </c>
      <c r="E188">
        <v>-10136573</v>
      </c>
    </row>
    <row r="189" spans="1:5" x14ac:dyDescent="0.25">
      <c r="A189" t="s">
        <v>1736</v>
      </c>
      <c r="B189">
        <v>10689875</v>
      </c>
      <c r="C189">
        <v>-44047373</v>
      </c>
      <c r="D189">
        <v>125915</v>
      </c>
      <c r="E189">
        <v>-10187466</v>
      </c>
    </row>
    <row r="190" spans="1:5" x14ac:dyDescent="0.25">
      <c r="A190" t="s">
        <v>1737</v>
      </c>
      <c r="B190">
        <v>10490274</v>
      </c>
      <c r="C190">
        <v>-44047373</v>
      </c>
      <c r="D190">
        <v>125924</v>
      </c>
      <c r="E190">
        <v>-10373994</v>
      </c>
    </row>
    <row r="191" spans="1:5" x14ac:dyDescent="0.25">
      <c r="A191" t="s">
        <v>1738</v>
      </c>
      <c r="B191">
        <v>10336108</v>
      </c>
      <c r="C191">
        <v>-44047373</v>
      </c>
      <c r="D191">
        <v>125453</v>
      </c>
      <c r="E191">
        <v>-10359135</v>
      </c>
    </row>
    <row r="192" spans="1:5" x14ac:dyDescent="0.25">
      <c r="A192" t="s">
        <v>1739</v>
      </c>
      <c r="B192">
        <v>10466617</v>
      </c>
      <c r="C192">
        <v>-44047373</v>
      </c>
      <c r="D192">
        <v>125689</v>
      </c>
      <c r="E192">
        <v>-10506729</v>
      </c>
    </row>
    <row r="193" spans="1:5" x14ac:dyDescent="0.25">
      <c r="A193" t="s">
        <v>1740</v>
      </c>
      <c r="B193">
        <v>11447782</v>
      </c>
      <c r="C193">
        <v>-44047373</v>
      </c>
      <c r="D193">
        <v>125135</v>
      </c>
      <c r="E193">
        <v>-11325287</v>
      </c>
    </row>
    <row r="194" spans="1:5" x14ac:dyDescent="0.25">
      <c r="A194" t="s">
        <v>1741</v>
      </c>
      <c r="B194">
        <v>11524539</v>
      </c>
      <c r="C194">
        <v>-44047373</v>
      </c>
      <c r="D194">
        <v>124409</v>
      </c>
      <c r="E194">
        <v>-10845044</v>
      </c>
    </row>
    <row r="195" spans="1:5" x14ac:dyDescent="0.25">
      <c r="A195" t="s">
        <v>1742</v>
      </c>
      <c r="B195">
        <v>11283861</v>
      </c>
      <c r="C195">
        <v>-44047373</v>
      </c>
      <c r="D195">
        <v>123792</v>
      </c>
      <c r="E195">
        <v>-10449241</v>
      </c>
    </row>
    <row r="196" spans="1:5" x14ac:dyDescent="0.25">
      <c r="A196" t="s">
        <v>1743</v>
      </c>
      <c r="B196">
        <v>11621937</v>
      </c>
      <c r="C196">
        <v>-44047373</v>
      </c>
      <c r="D196">
        <v>123218</v>
      </c>
      <c r="E196">
        <v>-10060005</v>
      </c>
    </row>
    <row r="197" spans="1:5" x14ac:dyDescent="0.25">
      <c r="A197" t="s">
        <v>1744</v>
      </c>
      <c r="B197">
        <v>10574648</v>
      </c>
      <c r="C197">
        <v>-46260691</v>
      </c>
      <c r="D197">
        <v>116934</v>
      </c>
      <c r="E197">
        <v>-2079262</v>
      </c>
    </row>
    <row r="198" spans="1:5" x14ac:dyDescent="0.25">
      <c r="A198" t="s">
        <v>1745</v>
      </c>
      <c r="B198">
        <v>10368672</v>
      </c>
      <c r="C198">
        <v>-46260691</v>
      </c>
      <c r="D198">
        <v>116694</v>
      </c>
      <c r="E198">
        <v>-2118319</v>
      </c>
    </row>
    <row r="199" spans="1:5" x14ac:dyDescent="0.25">
      <c r="A199" t="s">
        <v>1746</v>
      </c>
      <c r="B199">
        <v>10795370</v>
      </c>
      <c r="C199">
        <v>-46260691</v>
      </c>
      <c r="D199">
        <v>116683</v>
      </c>
      <c r="E199">
        <v>-2196773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</worksheet>
</file>

<file path=docMetadata/LabelInfo.xml><?xml version="1.0" encoding="utf-8"?>
<clbl:labelList xmlns:clbl="http://schemas.microsoft.com/office/2020/mipLabelMetadata">
  <clbl:label id="{4fad7846-9f9e-492b-a39b-3494df5507e7}" enabled="1" method="Standard" siteId="{43c7fa0d-fe1f-4201-980b-3d9be41913e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index_tranche_pair_trades</vt:lpstr>
      <vt:lpstr>Sheet1</vt:lpstr>
      <vt:lpstr>Sheet2</vt:lpstr>
      <vt:lpstr>exposure_by_index</vt:lpstr>
      <vt:lpstr>exposure_by_ticker</vt:lpstr>
      <vt:lpstr>daily_pnl_pairs</vt:lpstr>
      <vt:lpstr>daily_pnl_close_pairs</vt:lpstr>
      <vt:lpstr>daily_pnl_hybrid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Mistry, Nikhil</cp:lastModifiedBy>
  <dcterms:created xsi:type="dcterms:W3CDTF">2025-10-14T13:04:23Z</dcterms:created>
  <dcterms:modified xsi:type="dcterms:W3CDTF">2025-11-19T09:58:04Z</dcterms:modified>
</cp:coreProperties>
</file>