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0" documentId="8_{4FBB91DC-7789-43C9-B800-EE5AFB0DBA23}" xr6:coauthVersionLast="47" xr6:coauthVersionMax="47" xr10:uidLastSave="{00000000-0000-0000-0000-000000000000}"/>
  <bookViews>
    <workbookView xWindow="17880" yWindow="3180" windowWidth="29040" windowHeight="17520" xr2:uid="{3281218C-849D-4D88-8AA5-0572E35C4C19}"/>
  </bookViews>
  <sheets>
    <sheet name="results" sheetId="1" r:id="rId1"/>
  </sheets>
  <definedNames>
    <definedName name="_xlnm._FilterDatabase" localSheetId="0" hidden="1">results!$A$1:$AK$347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40" i="1" l="1"/>
  <c r="AK340" i="1" s="1"/>
  <c r="AI287" i="1"/>
  <c r="AK287" i="1" s="1"/>
  <c r="AI264" i="1"/>
  <c r="AK264" i="1" s="1"/>
  <c r="AI323" i="1"/>
  <c r="AK323" i="1" s="1"/>
  <c r="AI343" i="1"/>
  <c r="AK343" i="1" s="1"/>
  <c r="AI335" i="1"/>
  <c r="AK335" i="1" s="1"/>
  <c r="AI99" i="1"/>
  <c r="AK99" i="1" s="1"/>
  <c r="AI308" i="1"/>
  <c r="AK308" i="1" s="1"/>
  <c r="AI297" i="1"/>
  <c r="AK297" i="1" s="1"/>
  <c r="AI78" i="1"/>
  <c r="AK78" i="1" s="1"/>
  <c r="AI344" i="1"/>
  <c r="AK344" i="1" s="1"/>
  <c r="AI337" i="1"/>
  <c r="AK337" i="1" s="1"/>
  <c r="AI306" i="1"/>
  <c r="AK306" i="1" s="1"/>
  <c r="AI336" i="1"/>
  <c r="AK336" i="1" s="1"/>
  <c r="AI283" i="1"/>
  <c r="AK283" i="1" s="1"/>
  <c r="AI91" i="1"/>
  <c r="AK91" i="1" s="1"/>
  <c r="AI324" i="1"/>
  <c r="AK324" i="1" s="1"/>
  <c r="AI345" i="1"/>
  <c r="AK345" i="1" s="1"/>
  <c r="AI288" i="1"/>
  <c r="AK288" i="1" s="1"/>
  <c r="AI314" i="1"/>
  <c r="AK314" i="1" s="1"/>
  <c r="AI246" i="1"/>
  <c r="AK246" i="1" s="1"/>
  <c r="AI225" i="1"/>
  <c r="AK225" i="1" s="1"/>
  <c r="AI290" i="1"/>
  <c r="AK290" i="1" s="1"/>
  <c r="AI257" i="1"/>
  <c r="AK257" i="1" s="1"/>
  <c r="AI238" i="1"/>
  <c r="AK238" i="1" s="1"/>
  <c r="AI342" i="1"/>
  <c r="AK342" i="1" s="1"/>
  <c r="AI88" i="1"/>
  <c r="AK88" i="1" s="1"/>
  <c r="AI263" i="1"/>
  <c r="AK263" i="1" s="1"/>
  <c r="AI148" i="1"/>
  <c r="AK148" i="1" s="1"/>
  <c r="AI341" i="1"/>
  <c r="AK341" i="1" s="1"/>
  <c r="AI332" i="1"/>
  <c r="AK332" i="1" s="1"/>
  <c r="AI234" i="1"/>
  <c r="AK234" i="1" s="1"/>
  <c r="AI311" i="1"/>
  <c r="AK311" i="1" s="1"/>
  <c r="AI178" i="1"/>
  <c r="AK178" i="1" s="1"/>
  <c r="AI216" i="1"/>
  <c r="AK216" i="1" s="1"/>
  <c r="AI207" i="1"/>
  <c r="AK207" i="1" s="1"/>
  <c r="AI313" i="1"/>
  <c r="AK313" i="1" s="1"/>
  <c r="AI163" i="1"/>
  <c r="AK163" i="1" s="1"/>
  <c r="AI307" i="1"/>
  <c r="AK307" i="1" s="1"/>
  <c r="AI333" i="1"/>
  <c r="AK333" i="1" s="1"/>
  <c r="AI315" i="1"/>
  <c r="AK315" i="1" s="1"/>
  <c r="AI96" i="1"/>
  <c r="AK96" i="1" s="1"/>
  <c r="AI186" i="1"/>
  <c r="AK186" i="1" s="1"/>
  <c r="AI105" i="1"/>
  <c r="AK105" i="1" s="1"/>
  <c r="AI334" i="1"/>
  <c r="AK334" i="1" s="1"/>
  <c r="AI267" i="1"/>
  <c r="AK267" i="1" s="1"/>
  <c r="AI139" i="1"/>
  <c r="AK139" i="1" s="1"/>
  <c r="AI83" i="1"/>
  <c r="AK83" i="1" s="1"/>
  <c r="AI185" i="1"/>
  <c r="AK185" i="1" s="1"/>
  <c r="AI310" i="1"/>
  <c r="AK310" i="1" s="1"/>
  <c r="AI291" i="1"/>
  <c r="AK291" i="1" s="1"/>
  <c r="AI270" i="1"/>
  <c r="AK270" i="1" s="1"/>
  <c r="AI26" i="1"/>
  <c r="AK26" i="1" s="1"/>
  <c r="AI129" i="1"/>
  <c r="AK129" i="1" s="1"/>
  <c r="AI24" i="1"/>
  <c r="AK24" i="1" s="1"/>
  <c r="AI312" i="1"/>
  <c r="AK312" i="1" s="1"/>
  <c r="AI346" i="1"/>
  <c r="AK346" i="1" s="1"/>
  <c r="AI140" i="1"/>
  <c r="AK140" i="1" s="1"/>
  <c r="AI282" i="1"/>
  <c r="AK282" i="1" s="1"/>
  <c r="AI329" i="1"/>
  <c r="AK329" i="1" s="1"/>
  <c r="AI320" i="1"/>
  <c r="AK320" i="1" s="1"/>
  <c r="AI149" i="1"/>
  <c r="AK149" i="1" s="1"/>
  <c r="AI277" i="1"/>
  <c r="AK277" i="1" s="1"/>
  <c r="AI125" i="1"/>
  <c r="AK125" i="1" s="1"/>
  <c r="AI278" i="1"/>
  <c r="AK278" i="1" s="1"/>
  <c r="AI338" i="1"/>
  <c r="AK338" i="1" s="1"/>
  <c r="AI301" i="1"/>
  <c r="AK301" i="1" s="1"/>
  <c r="AI266" i="1"/>
  <c r="AK266" i="1" s="1"/>
  <c r="AI223" i="1"/>
  <c r="AK223" i="1" s="1"/>
  <c r="AI162" i="1"/>
  <c r="AK162" i="1" s="1"/>
  <c r="AI265" i="1"/>
  <c r="AK265" i="1" s="1"/>
  <c r="AI214" i="1"/>
  <c r="AK214" i="1" s="1"/>
  <c r="AI230" i="1"/>
  <c r="AK230" i="1" s="1"/>
  <c r="AI200" i="1"/>
  <c r="AK200" i="1" s="1"/>
  <c r="AI171" i="1"/>
  <c r="AK171" i="1" s="1"/>
  <c r="AI193" i="1"/>
  <c r="AK193" i="1" s="1"/>
  <c r="AI331" i="1"/>
  <c r="AK331" i="1" s="1"/>
  <c r="AI121" i="1"/>
  <c r="AK121" i="1" s="1"/>
  <c r="AI242" i="1"/>
  <c r="AK242" i="1" s="1"/>
  <c r="AI295" i="1"/>
  <c r="AK295" i="1" s="1"/>
  <c r="AI322" i="1"/>
  <c r="AK322" i="1" s="1"/>
  <c r="AI319" i="1"/>
  <c r="AK319" i="1" s="1"/>
  <c r="AI135" i="1"/>
  <c r="AK135" i="1" s="1"/>
  <c r="AI339" i="1"/>
  <c r="AK339" i="1" s="1"/>
  <c r="AI316" i="1"/>
  <c r="AK316" i="1" s="1"/>
  <c r="AI90" i="1"/>
  <c r="AK90" i="1" s="1"/>
  <c r="AI247" i="1"/>
  <c r="AK247" i="1" s="1"/>
  <c r="AI137" i="1"/>
  <c r="AK137" i="1" s="1"/>
  <c r="AI174" i="1"/>
  <c r="AK174" i="1" s="1"/>
  <c r="AI152" i="1"/>
  <c r="AK152" i="1" s="1"/>
  <c r="AI347" i="1"/>
  <c r="AK347" i="1" s="1"/>
  <c r="AI107" i="1"/>
  <c r="AK107" i="1" s="1"/>
  <c r="AI236" i="1"/>
  <c r="AK236" i="1" s="1"/>
  <c r="AI262" i="1"/>
  <c r="AK262" i="1" s="1"/>
  <c r="AI248" i="1"/>
  <c r="AK248" i="1" s="1"/>
  <c r="AI116" i="1"/>
  <c r="AK116" i="1" s="1"/>
  <c r="AI210" i="1"/>
  <c r="AK210" i="1" s="1"/>
  <c r="AI28" i="1"/>
  <c r="AK28" i="1" s="1"/>
  <c r="AI142" i="1"/>
  <c r="AK142" i="1" s="1"/>
  <c r="AI325" i="1"/>
  <c r="AK325" i="1" s="1"/>
  <c r="AI158" i="1"/>
  <c r="AK158" i="1" s="1"/>
  <c r="AI182" i="1"/>
  <c r="AK182" i="1" s="1"/>
  <c r="AI109" i="1"/>
  <c r="AK109" i="1" s="1"/>
  <c r="AI80" i="1"/>
  <c r="AK80" i="1" s="1"/>
  <c r="AI101" i="1"/>
  <c r="AK101" i="1" s="1"/>
  <c r="AI252" i="1"/>
  <c r="AK252" i="1" s="1"/>
  <c r="AI76" i="1"/>
  <c r="AK76" i="1" s="1"/>
  <c r="AI208" i="1"/>
  <c r="AK208" i="1" s="1"/>
  <c r="AI156" i="1"/>
  <c r="AK156" i="1" s="1"/>
  <c r="AI118" i="1"/>
  <c r="AK118" i="1" s="1"/>
  <c r="AI153" i="1"/>
  <c r="AK153" i="1" s="1"/>
  <c r="AI86" i="1"/>
  <c r="AK86" i="1" s="1"/>
  <c r="AI188" i="1"/>
  <c r="AK188" i="1" s="1"/>
  <c r="AI14" i="1"/>
  <c r="AK14" i="1" s="1"/>
  <c r="AI145" i="1"/>
  <c r="AK145" i="1" s="1"/>
  <c r="AI261" i="1"/>
  <c r="AK261" i="1" s="1"/>
  <c r="AI71" i="1"/>
  <c r="AK71" i="1" s="1"/>
  <c r="AI228" i="1"/>
  <c r="AK228" i="1" s="1"/>
  <c r="AI136" i="1"/>
  <c r="AK136" i="1" s="1"/>
  <c r="AI251" i="1"/>
  <c r="AK251" i="1" s="1"/>
  <c r="AI98" i="1"/>
  <c r="AK98" i="1" s="1"/>
  <c r="AI169" i="1"/>
  <c r="AK169" i="1" s="1"/>
  <c r="AI120" i="1"/>
  <c r="AK120" i="1" s="1"/>
  <c r="AI318" i="1"/>
  <c r="AK318" i="1" s="1"/>
  <c r="AI294" i="1"/>
  <c r="AK294" i="1" s="1"/>
  <c r="AI175" i="1"/>
  <c r="AK175" i="1" s="1"/>
  <c r="AI151" i="1"/>
  <c r="AK151" i="1" s="1"/>
  <c r="AI172" i="1"/>
  <c r="AK172" i="1" s="1"/>
  <c r="AI119" i="1"/>
  <c r="AK119" i="1" s="1"/>
  <c r="AI64" i="1"/>
  <c r="AK64" i="1" s="1"/>
  <c r="AI244" i="1"/>
  <c r="AK244" i="1" s="1"/>
  <c r="AI70" i="1"/>
  <c r="AK70" i="1" s="1"/>
  <c r="AI160" i="1"/>
  <c r="AK160" i="1" s="1"/>
  <c r="AI180" i="1"/>
  <c r="AK180" i="1" s="1"/>
  <c r="AI237" i="1"/>
  <c r="AK237" i="1" s="1"/>
  <c r="AI82" i="1"/>
  <c r="AK82" i="1" s="1"/>
  <c r="AI286" i="1"/>
  <c r="AK286" i="1" s="1"/>
  <c r="AI281" i="1"/>
  <c r="AK281" i="1" s="1"/>
  <c r="AI298" i="1"/>
  <c r="AK298" i="1" s="1"/>
  <c r="AI117" i="1"/>
  <c r="AK117" i="1" s="1"/>
  <c r="AI296" i="1"/>
  <c r="AK296" i="1" s="1"/>
  <c r="AI235" i="1"/>
  <c r="AK235" i="1" s="1"/>
  <c r="AI203" i="1"/>
  <c r="AK203" i="1" s="1"/>
  <c r="AI166" i="1"/>
  <c r="AK166" i="1" s="1"/>
  <c r="AI92" i="1"/>
  <c r="AK92" i="1" s="1"/>
  <c r="AI217" i="1"/>
  <c r="AK217" i="1" s="1"/>
  <c r="AI202" i="1"/>
  <c r="AK202" i="1" s="1"/>
  <c r="AI271" i="1"/>
  <c r="AK271" i="1" s="1"/>
  <c r="AI222" i="1"/>
  <c r="AK222" i="1" s="1"/>
  <c r="AI106" i="1"/>
  <c r="AK106" i="1" s="1"/>
  <c r="AI170" i="1"/>
  <c r="AK170" i="1" s="1"/>
  <c r="AI206" i="1"/>
  <c r="AK206" i="1" s="1"/>
  <c r="AI150" i="1"/>
  <c r="AK150" i="1" s="1"/>
  <c r="AI226" i="1"/>
  <c r="AK226" i="1" s="1"/>
  <c r="AI159" i="1"/>
  <c r="AK159" i="1" s="1"/>
  <c r="AI190" i="1"/>
  <c r="AK190" i="1" s="1"/>
  <c r="AI74" i="1"/>
  <c r="AK74" i="1" s="1"/>
  <c r="AI243" i="1"/>
  <c r="AK243" i="1" s="1"/>
  <c r="AI27" i="1"/>
  <c r="AK27" i="1" s="1"/>
  <c r="AI285" i="1"/>
  <c r="AK285" i="1" s="1"/>
  <c r="AI321" i="1"/>
  <c r="AK321" i="1" s="1"/>
  <c r="AI176" i="1"/>
  <c r="AK176" i="1" s="1"/>
  <c r="AI269" i="1"/>
  <c r="AK269" i="1" s="1"/>
  <c r="AI132" i="1"/>
  <c r="AK132" i="1" s="1"/>
  <c r="AI179" i="1"/>
  <c r="AK179" i="1" s="1"/>
  <c r="AI268" i="1"/>
  <c r="AK268" i="1" s="1"/>
  <c r="AI187" i="1"/>
  <c r="AK187" i="1" s="1"/>
  <c r="AI131" i="1"/>
  <c r="AK131" i="1" s="1"/>
  <c r="AI215" i="1"/>
  <c r="AK215" i="1" s="1"/>
  <c r="AI133" i="1"/>
  <c r="AK133" i="1" s="1"/>
  <c r="AI95" i="1"/>
  <c r="AK95" i="1" s="1"/>
  <c r="AI85" i="1"/>
  <c r="AK85" i="1" s="1"/>
  <c r="AI250" i="1"/>
  <c r="AK250" i="1" s="1"/>
  <c r="AI240" i="1"/>
  <c r="AK240" i="1" s="1"/>
  <c r="AI31" i="1"/>
  <c r="AK31" i="1" s="1"/>
  <c r="AI84" i="1"/>
  <c r="AK84" i="1" s="1"/>
  <c r="AI52" i="1"/>
  <c r="AK52" i="1" s="1"/>
  <c r="AI38" i="1"/>
  <c r="AK38" i="1" s="1"/>
  <c r="AI259" i="1"/>
  <c r="AK259" i="1" s="1"/>
  <c r="AI141" i="1"/>
  <c r="AK141" i="1" s="1"/>
  <c r="AI194" i="1"/>
  <c r="AK194" i="1" s="1"/>
  <c r="AI32" i="1"/>
  <c r="AK32" i="1" s="1"/>
  <c r="AI177" i="1"/>
  <c r="AK177" i="1" s="1"/>
  <c r="AI258" i="1"/>
  <c r="AK258" i="1" s="1"/>
  <c r="AI191" i="1"/>
  <c r="AK191" i="1" s="1"/>
  <c r="AI233" i="1"/>
  <c r="AK233" i="1" s="1"/>
  <c r="AI273" i="1"/>
  <c r="AK273" i="1" s="1"/>
  <c r="AI280" i="1"/>
  <c r="AK280" i="1" s="1"/>
  <c r="AI249" i="1"/>
  <c r="AK249" i="1" s="1"/>
  <c r="AI219" i="1"/>
  <c r="AK219" i="1" s="1"/>
  <c r="AI330" i="1"/>
  <c r="AK330" i="1" s="1"/>
  <c r="AI289" i="1"/>
  <c r="AK289" i="1" s="1"/>
  <c r="AI122" i="1"/>
  <c r="AK122" i="1" s="1"/>
  <c r="AI256" i="1"/>
  <c r="AK256" i="1" s="1"/>
  <c r="AI147" i="1"/>
  <c r="AK147" i="1" s="1"/>
  <c r="AI126" i="1"/>
  <c r="AK126" i="1" s="1"/>
  <c r="AI12" i="1"/>
  <c r="AK12" i="1" s="1"/>
  <c r="AI326" i="1"/>
  <c r="AK326" i="1" s="1"/>
  <c r="AI189" i="1"/>
  <c r="AK189" i="1" s="1"/>
  <c r="AI279" i="1"/>
  <c r="AK279" i="1" s="1"/>
  <c r="AI327" i="1"/>
  <c r="AK327" i="1" s="1"/>
  <c r="AI213" i="1"/>
  <c r="AK213" i="1" s="1"/>
  <c r="AI275" i="1"/>
  <c r="AK275" i="1" s="1"/>
  <c r="AI254" i="1"/>
  <c r="AK254" i="1" s="1"/>
  <c r="AI260" i="1"/>
  <c r="AK260" i="1" s="1"/>
  <c r="AI239" i="1"/>
  <c r="AK239" i="1" s="1"/>
  <c r="AI23" i="1"/>
  <c r="AK23" i="1" s="1"/>
  <c r="AI192" i="1"/>
  <c r="AK192" i="1" s="1"/>
  <c r="AI79" i="1"/>
  <c r="AK79" i="1" s="1"/>
  <c r="AI48" i="1"/>
  <c r="AK48" i="1" s="1"/>
  <c r="AI30" i="1"/>
  <c r="AK30" i="1" s="1"/>
  <c r="AI102" i="1"/>
  <c r="AK102" i="1" s="1"/>
  <c r="AI317" i="1"/>
  <c r="AK317" i="1" s="1"/>
  <c r="AI229" i="1"/>
  <c r="AK229" i="1" s="1"/>
  <c r="AI157" i="1"/>
  <c r="AK157" i="1" s="1"/>
  <c r="AI113" i="1"/>
  <c r="AK113" i="1" s="1"/>
  <c r="AI167" i="1"/>
  <c r="AK167" i="1" s="1"/>
  <c r="AI103" i="1"/>
  <c r="AK103" i="1" s="1"/>
  <c r="AI110" i="1"/>
  <c r="AK110" i="1" s="1"/>
  <c r="AI303" i="1"/>
  <c r="AK303" i="1" s="1"/>
  <c r="AI62" i="1"/>
  <c r="AK62" i="1" s="1"/>
  <c r="AI198" i="1"/>
  <c r="AK198" i="1" s="1"/>
  <c r="AI220" i="1"/>
  <c r="AK220" i="1" s="1"/>
  <c r="AI111" i="1"/>
  <c r="AK111" i="1" s="1"/>
  <c r="AI209" i="1"/>
  <c r="AK209" i="1" s="1"/>
  <c r="AI164" i="1"/>
  <c r="AK164" i="1" s="1"/>
  <c r="AI144" i="1"/>
  <c r="AK144" i="1" s="1"/>
  <c r="AI63" i="1"/>
  <c r="AK63" i="1" s="1"/>
  <c r="AI227" i="1"/>
  <c r="AK227" i="1" s="1"/>
  <c r="AI146" i="1"/>
  <c r="AK146" i="1" s="1"/>
  <c r="AI201" i="1"/>
  <c r="AK201" i="1" s="1"/>
  <c r="AI112" i="1"/>
  <c r="AK112" i="1" s="1"/>
  <c r="AI123" i="1"/>
  <c r="AK123" i="1" s="1"/>
  <c r="AI155" i="1"/>
  <c r="AK155" i="1" s="1"/>
  <c r="AI255" i="1"/>
  <c r="AK255" i="1" s="1"/>
  <c r="AI218" i="1"/>
  <c r="AK218" i="1" s="1"/>
  <c r="AI20" i="1"/>
  <c r="AK20" i="1" s="1"/>
  <c r="AI199" i="1"/>
  <c r="AK199" i="1" s="1"/>
  <c r="AI300" i="1"/>
  <c r="AK300" i="1" s="1"/>
  <c r="AI274" i="1"/>
  <c r="AK274" i="1" s="1"/>
  <c r="AI143" i="1"/>
  <c r="AK143" i="1" s="1"/>
  <c r="AI161" i="1"/>
  <c r="AK161" i="1" s="1"/>
  <c r="AI299" i="1"/>
  <c r="AK299" i="1" s="1"/>
  <c r="AI69" i="1"/>
  <c r="AK69" i="1" s="1"/>
  <c r="AI224" i="1"/>
  <c r="AK224" i="1" s="1"/>
  <c r="AI154" i="1"/>
  <c r="AK154" i="1" s="1"/>
  <c r="AI241" i="1"/>
  <c r="AK241" i="1" s="1"/>
  <c r="AI205" i="1"/>
  <c r="AK205" i="1" s="1"/>
  <c r="AI204" i="1"/>
  <c r="AK204" i="1" s="1"/>
  <c r="AI181" i="1"/>
  <c r="AK181" i="1" s="1"/>
  <c r="AI221" i="1"/>
  <c r="AK221" i="1" s="1"/>
  <c r="AI165" i="1"/>
  <c r="AK165" i="1" s="1"/>
  <c r="AI17" i="1"/>
  <c r="AK17" i="1" s="1"/>
  <c r="AI212" i="1"/>
  <c r="AK212" i="1" s="1"/>
  <c r="AI231" i="1"/>
  <c r="AK231" i="1" s="1"/>
  <c r="AI232" i="1"/>
  <c r="AK232" i="1" s="1"/>
  <c r="AI77" i="1"/>
  <c r="AK77" i="1" s="1"/>
  <c r="AI68" i="1"/>
  <c r="AK68" i="1" s="1"/>
  <c r="AI245" i="1"/>
  <c r="AK245" i="1" s="1"/>
  <c r="AI134" i="1"/>
  <c r="AK134" i="1" s="1"/>
  <c r="AI309" i="1"/>
  <c r="AK309" i="1" s="1"/>
  <c r="AI284" i="1"/>
  <c r="AK284" i="1" s="1"/>
  <c r="AI128" i="1"/>
  <c r="AK128" i="1" s="1"/>
  <c r="AI127" i="1"/>
  <c r="AK127" i="1" s="1"/>
  <c r="AI183" i="1"/>
  <c r="AK183" i="1" s="1"/>
  <c r="AI39" i="1"/>
  <c r="AK39" i="1" s="1"/>
  <c r="AI15" i="1"/>
  <c r="AK15" i="1" s="1"/>
  <c r="AI45" i="1"/>
  <c r="AK45" i="1" s="1"/>
  <c r="AI197" i="1"/>
  <c r="AK197" i="1" s="1"/>
  <c r="AI66" i="1"/>
  <c r="AK66" i="1" s="1"/>
  <c r="AI35" i="1"/>
  <c r="AK35" i="1" s="1"/>
  <c r="AI87" i="1"/>
  <c r="AK87" i="1" s="1"/>
  <c r="AI114" i="1"/>
  <c r="AK114" i="1" s="1"/>
  <c r="AI21" i="1"/>
  <c r="AK21" i="1" s="1"/>
  <c r="AI72" i="1"/>
  <c r="AK72" i="1" s="1"/>
  <c r="AI53" i="1"/>
  <c r="AK53" i="1" s="1"/>
  <c r="AI59" i="1"/>
  <c r="AK59" i="1" s="1"/>
  <c r="AI97" i="1"/>
  <c r="AK97" i="1" s="1"/>
  <c r="AI60" i="1"/>
  <c r="AK60" i="1" s="1"/>
  <c r="AI47" i="1"/>
  <c r="AK47" i="1" s="1"/>
  <c r="AI124" i="1"/>
  <c r="AK124" i="1" s="1"/>
  <c r="AI138" i="1"/>
  <c r="AK138" i="1" s="1"/>
  <c r="AI50" i="1"/>
  <c r="AK50" i="1" s="1"/>
  <c r="AI196" i="1"/>
  <c r="AK196" i="1" s="1"/>
  <c r="AI94" i="1"/>
  <c r="AK94" i="1" s="1"/>
  <c r="AI43" i="1"/>
  <c r="AK43" i="1" s="1"/>
  <c r="AI51" i="1"/>
  <c r="AK51" i="1" s="1"/>
  <c r="AI42" i="1"/>
  <c r="AK42" i="1" s="1"/>
  <c r="AI2" i="1"/>
  <c r="AK2" i="1" s="1"/>
  <c r="AI34" i="1"/>
  <c r="AK34" i="1" s="1"/>
  <c r="AI100" i="1"/>
  <c r="AK100" i="1" s="1"/>
  <c r="AI195" i="1"/>
  <c r="AK195" i="1" s="1"/>
  <c r="AI18" i="1"/>
  <c r="AK18" i="1" s="1"/>
  <c r="AI54" i="1"/>
  <c r="AK54" i="1" s="1"/>
  <c r="AI37" i="1"/>
  <c r="AK37" i="1" s="1"/>
  <c r="AI115" i="1"/>
  <c r="AK115" i="1" s="1"/>
  <c r="AI73" i="1"/>
  <c r="AK73" i="1" s="1"/>
  <c r="AI61" i="1"/>
  <c r="AK61" i="1" s="1"/>
  <c r="AI19" i="1"/>
  <c r="AK19" i="1" s="1"/>
  <c r="AI11" i="1"/>
  <c r="AK11" i="1" s="1"/>
  <c r="AI25" i="1"/>
  <c r="AK25" i="1" s="1"/>
  <c r="AI33" i="1"/>
  <c r="AK33" i="1" s="1"/>
  <c r="AI184" i="1"/>
  <c r="AK184" i="1" s="1"/>
  <c r="AI328" i="1"/>
  <c r="AK328" i="1" s="1"/>
  <c r="AI55" i="1"/>
  <c r="AK55" i="1" s="1"/>
  <c r="AI211" i="1"/>
  <c r="AK211" i="1" s="1"/>
  <c r="AI22" i="1"/>
  <c r="AK22" i="1" s="1"/>
  <c r="AI44" i="1"/>
  <c r="AK44" i="1" s="1"/>
  <c r="AI49" i="1"/>
  <c r="AK49" i="1" s="1"/>
  <c r="AI16" i="1"/>
  <c r="AK16" i="1" s="1"/>
  <c r="AI81" i="1"/>
  <c r="AK81" i="1" s="1"/>
  <c r="AI130" i="1"/>
  <c r="AK130" i="1" s="1"/>
  <c r="AI46" i="1"/>
  <c r="AK46" i="1" s="1"/>
  <c r="AI56" i="1"/>
  <c r="AK56" i="1" s="1"/>
  <c r="AI304" i="1"/>
  <c r="AK304" i="1" s="1"/>
  <c r="AI305" i="1"/>
  <c r="AK305" i="1" s="1"/>
  <c r="AI173" i="1"/>
  <c r="AK173" i="1" s="1"/>
  <c r="AI10" i="1"/>
  <c r="AK10" i="1" s="1"/>
  <c r="AI276" i="1"/>
  <c r="AK276" i="1" s="1"/>
  <c r="AI57" i="1"/>
  <c r="AK57" i="1" s="1"/>
  <c r="AI5" i="1"/>
  <c r="AK5" i="1" s="1"/>
  <c r="AI4" i="1"/>
  <c r="AK4" i="1" s="1"/>
  <c r="AI13" i="1"/>
  <c r="AK13" i="1" s="1"/>
  <c r="AI29" i="1"/>
  <c r="AK29" i="1" s="1"/>
  <c r="AI41" i="1"/>
  <c r="AK41" i="1" s="1"/>
  <c r="AI36" i="1"/>
  <c r="AK36" i="1" s="1"/>
  <c r="AI75" i="1"/>
  <c r="AK75" i="1" s="1"/>
  <c r="AI40" i="1"/>
  <c r="AK40" i="1" s="1"/>
  <c r="AI6" i="1"/>
  <c r="AK6" i="1" s="1"/>
  <c r="AI8" i="1"/>
  <c r="AK8" i="1" s="1"/>
  <c r="AI104" i="1"/>
  <c r="AK104" i="1" s="1"/>
  <c r="AI302" i="1"/>
  <c r="AK302" i="1" s="1"/>
  <c r="AI168" i="1"/>
  <c r="AK168" i="1" s="1"/>
  <c r="AI67" i="1"/>
  <c r="AK67" i="1" s="1"/>
  <c r="AI292" i="1"/>
  <c r="AK292" i="1" s="1"/>
  <c r="AI9" i="1"/>
  <c r="AK9" i="1" s="1"/>
  <c r="AI108" i="1"/>
  <c r="AK108" i="1" s="1"/>
  <c r="AI253" i="1"/>
  <c r="AK253" i="1" s="1"/>
  <c r="AI293" i="1"/>
  <c r="AK293" i="1" s="1"/>
  <c r="AI65" i="1"/>
  <c r="AK65" i="1" s="1"/>
  <c r="AI58" i="1"/>
  <c r="AK58" i="1" s="1"/>
  <c r="AI7" i="1"/>
  <c r="AK7" i="1" s="1"/>
  <c r="AI3" i="1"/>
  <c r="AK3" i="1" s="1"/>
  <c r="AI89" i="1"/>
  <c r="AK89" i="1" s="1"/>
  <c r="AI272" i="1"/>
  <c r="AK272" i="1" s="1"/>
  <c r="AI93" i="1"/>
  <c r="AK93" i="1" s="1"/>
  <c r="AF183" i="1"/>
  <c r="AG183" i="1" s="1"/>
  <c r="AF165" i="1"/>
  <c r="AG165" i="1" s="1"/>
  <c r="AF239" i="1"/>
  <c r="AG239" i="1" s="1"/>
  <c r="AF40" i="1"/>
  <c r="AG40" i="1" s="1"/>
  <c r="AF250" i="1"/>
  <c r="AG250" i="1" s="1"/>
  <c r="AF198" i="1"/>
  <c r="AG198" i="1" s="1"/>
  <c r="AF294" i="1"/>
  <c r="AG294" i="1" s="1"/>
  <c r="AF143" i="1"/>
  <c r="AG143" i="1" s="1"/>
  <c r="AF251" i="1"/>
  <c r="AG251" i="1" s="1"/>
  <c r="AF173" i="1"/>
  <c r="AG173" i="1" s="1"/>
  <c r="AF275" i="1"/>
  <c r="AG275" i="1" s="1"/>
  <c r="AF245" i="1"/>
  <c r="AG245" i="1" s="1"/>
  <c r="AF227" i="1"/>
  <c r="AG227" i="1" s="1"/>
  <c r="AF320" i="1"/>
  <c r="AG320" i="1" s="1"/>
  <c r="AF256" i="1"/>
  <c r="AG256" i="1" s="1"/>
  <c r="AF164" i="1"/>
  <c r="AG164" i="1" s="1"/>
  <c r="AF222" i="1"/>
  <c r="AG222" i="1" s="1"/>
  <c r="AF140" i="1"/>
  <c r="AG140" i="1" s="1"/>
  <c r="AF252" i="1"/>
  <c r="AG252" i="1" s="1"/>
  <c r="AF309" i="1"/>
  <c r="AG309" i="1" s="1"/>
  <c r="AF181" i="1"/>
  <c r="AG181" i="1" s="1"/>
  <c r="AF321" i="1"/>
  <c r="AG321" i="1" s="1"/>
  <c r="AF289" i="1"/>
  <c r="AG289" i="1" s="1"/>
  <c r="AF218" i="1"/>
  <c r="AG218" i="1" s="1"/>
  <c r="AF229" i="1"/>
  <c r="AG229" i="1" s="1"/>
  <c r="AF254" i="1"/>
  <c r="AG254" i="1" s="1"/>
  <c r="AF260" i="1"/>
  <c r="AG260" i="1" s="1"/>
  <c r="AF325" i="1"/>
  <c r="AG325" i="1" s="1"/>
  <c r="AF161" i="1"/>
  <c r="AG161" i="1" s="1"/>
  <c r="AF334" i="1"/>
  <c r="AG334" i="1" s="1"/>
  <c r="AF220" i="1"/>
  <c r="AG220" i="1" s="1"/>
  <c r="AF286" i="1"/>
  <c r="AG286" i="1" s="1"/>
  <c r="AF273" i="1"/>
  <c r="AG273" i="1" s="1"/>
  <c r="AF298" i="1"/>
  <c r="AG298" i="1" s="1"/>
  <c r="AF271" i="1"/>
  <c r="AG271" i="1" s="1"/>
  <c r="AF244" i="1"/>
  <c r="AG244" i="1" s="1"/>
  <c r="AF190" i="1"/>
  <c r="AG190" i="1" s="1"/>
  <c r="AF249" i="1"/>
  <c r="AG249" i="1" s="1"/>
  <c r="AF235" i="1"/>
  <c r="AG235" i="1" s="1"/>
  <c r="AF34" i="1"/>
  <c r="AG34" i="1" s="1"/>
  <c r="AF204" i="1"/>
  <c r="AG204" i="1" s="1"/>
  <c r="AF205" i="1"/>
  <c r="AG205" i="1" s="1"/>
  <c r="AF66" i="1"/>
  <c r="AG66" i="1" s="1"/>
  <c r="AF86" i="1"/>
  <c r="AG86" i="1" s="1"/>
  <c r="AF154" i="1"/>
  <c r="AG154" i="1" s="1"/>
  <c r="AF199" i="1"/>
  <c r="AG199" i="1" s="1"/>
  <c r="AF213" i="1"/>
  <c r="AG213" i="1" s="1"/>
  <c r="AF215" i="1"/>
  <c r="AG215" i="1" s="1"/>
  <c r="AF340" i="1"/>
  <c r="AG340" i="1" s="1"/>
  <c r="AF347" i="1"/>
  <c r="AG347" i="1" s="1"/>
  <c r="AF317" i="1"/>
  <c r="AG317" i="1" s="1"/>
  <c r="AF326" i="1"/>
  <c r="AG326" i="1" s="1"/>
  <c r="AF327" i="1"/>
  <c r="AG327" i="1" s="1"/>
  <c r="AF330" i="1"/>
  <c r="AG330" i="1" s="1"/>
  <c r="AF279" i="1"/>
  <c r="AG279" i="1" s="1"/>
  <c r="AF316" i="1"/>
  <c r="AG316" i="1" s="1"/>
  <c r="AF259" i="1"/>
  <c r="AG259" i="1" s="1"/>
  <c r="AF258" i="1"/>
  <c r="AG258" i="1" s="1"/>
  <c r="AF345" i="1"/>
  <c r="AG345" i="1" s="1"/>
  <c r="AF61" i="1"/>
  <c r="AG61" i="1" s="1"/>
  <c r="AF138" i="1"/>
  <c r="AG138" i="1" s="1"/>
  <c r="AF170" i="1"/>
  <c r="AG170" i="1" s="1"/>
  <c r="AF94" i="1"/>
  <c r="AG94" i="1" s="1"/>
  <c r="AF237" i="1"/>
  <c r="AG237" i="1" s="1"/>
  <c r="AF301" i="1"/>
  <c r="AG301" i="1" s="1"/>
  <c r="AF278" i="1"/>
  <c r="AG278" i="1" s="1"/>
  <c r="AF200" i="1"/>
  <c r="AG200" i="1" s="1"/>
  <c r="AF168" i="1"/>
  <c r="AG168" i="1" s="1"/>
  <c r="AF120" i="1"/>
  <c r="AG120" i="1" s="1"/>
  <c r="AF196" i="1"/>
  <c r="AG196" i="1" s="1"/>
  <c r="AF303" i="1"/>
  <c r="AG303" i="1" s="1"/>
  <c r="AF284" i="1"/>
  <c r="AG284" i="1" s="1"/>
  <c r="AF339" i="1"/>
  <c r="AG339" i="1" s="1"/>
  <c r="AF231" i="1"/>
  <c r="AG231" i="1" s="1"/>
  <c r="AF346" i="1"/>
  <c r="AG346" i="1" s="1"/>
  <c r="AF232" i="1"/>
  <c r="AG232" i="1" s="1"/>
  <c r="AF221" i="1"/>
  <c r="AG221" i="1" s="1"/>
  <c r="AF201" i="1"/>
  <c r="AG201" i="1" s="1"/>
  <c r="AF224" i="1"/>
  <c r="AG224" i="1" s="1"/>
  <c r="AF45" i="1"/>
  <c r="AG45" i="1" s="1"/>
  <c r="AF285" i="1"/>
  <c r="AG285" i="1" s="1"/>
  <c r="AF47" i="1"/>
  <c r="AG47" i="1" s="1"/>
  <c r="AF79" i="1"/>
  <c r="AG79" i="1" s="1"/>
  <c r="AF53" i="1"/>
  <c r="AG53" i="1" s="1"/>
  <c r="AF57" i="1"/>
  <c r="AG57" i="1" s="1"/>
  <c r="AF193" i="1"/>
  <c r="AG193" i="1" s="1"/>
  <c r="AF22" i="1"/>
  <c r="AG22" i="1" s="1"/>
  <c r="AF248" i="1"/>
  <c r="AG248" i="1" s="1"/>
  <c r="AF97" i="1"/>
  <c r="AG97" i="1" s="1"/>
  <c r="AF54" i="1"/>
  <c r="AG54" i="1" s="1"/>
  <c r="AF313" i="1"/>
  <c r="AG313" i="1" s="1"/>
  <c r="AF324" i="1"/>
  <c r="AG324" i="1" s="1"/>
  <c r="AF290" i="1"/>
  <c r="AG290" i="1" s="1"/>
  <c r="AF195" i="1"/>
  <c r="AG195" i="1" s="1"/>
  <c r="AF2" i="1"/>
  <c r="AG2" i="1" s="1"/>
  <c r="AF21" i="1"/>
  <c r="AG21" i="1" s="1"/>
  <c r="AF31" i="1"/>
  <c r="AG31" i="1" s="1"/>
  <c r="AF44" i="1"/>
  <c r="AG44" i="1" s="1"/>
  <c r="AF56" i="1"/>
  <c r="AG56" i="1" s="1"/>
  <c r="AF39" i="1"/>
  <c r="AG39" i="1" s="1"/>
  <c r="AF77" i="1"/>
  <c r="AG77" i="1" s="1"/>
  <c r="AF102" i="1"/>
  <c r="AG102" i="1" s="1"/>
  <c r="AF38" i="1"/>
  <c r="AG38" i="1" s="1"/>
  <c r="AF33" i="1"/>
  <c r="AG33" i="1" s="1"/>
  <c r="AF233" i="1"/>
  <c r="AG233" i="1" s="1"/>
  <c r="AF243" i="1"/>
  <c r="AG243" i="1" s="1"/>
  <c r="AF197" i="1"/>
  <c r="AG197" i="1" s="1"/>
  <c r="AF336" i="1"/>
  <c r="AG336" i="1" s="1"/>
  <c r="AF172" i="1"/>
  <c r="AG172" i="1" s="1"/>
  <c r="AF169" i="1"/>
  <c r="AG169" i="1" s="1"/>
  <c r="AF148" i="1"/>
  <c r="AG148" i="1" s="1"/>
  <c r="AF186" i="1"/>
  <c r="AG186" i="1" s="1"/>
  <c r="AF147" i="1"/>
  <c r="AG147" i="1" s="1"/>
  <c r="AF124" i="1"/>
  <c r="AG124" i="1" s="1"/>
  <c r="AF6" i="1"/>
  <c r="AG6" i="1" s="1"/>
  <c r="AF92" i="1"/>
  <c r="AG92" i="1" s="1"/>
  <c r="AF131" i="1"/>
  <c r="AG131" i="1" s="1"/>
  <c r="AF36" i="1"/>
  <c r="AG36" i="1" s="1"/>
  <c r="AF88" i="1"/>
  <c r="AG88" i="1" s="1"/>
  <c r="AF82" i="1"/>
  <c r="AG82" i="1" s="1"/>
  <c r="AF152" i="1"/>
  <c r="AG152" i="1" s="1"/>
  <c r="AF26" i="1"/>
  <c r="AG26" i="1" s="1"/>
  <c r="AF9" i="1"/>
  <c r="AG9" i="1" s="1"/>
  <c r="AF43" i="1"/>
  <c r="AG43" i="1" s="1"/>
  <c r="AF191" i="1"/>
  <c r="AG191" i="1" s="1"/>
  <c r="AF179" i="1"/>
  <c r="AG179" i="1" s="1"/>
  <c r="AF236" i="1"/>
  <c r="AG236" i="1" s="1"/>
  <c r="AF306" i="1"/>
  <c r="AG306" i="1" s="1"/>
  <c r="AF182" i="1"/>
  <c r="AG182" i="1" s="1"/>
  <c r="AF335" i="1"/>
  <c r="AG335" i="1" s="1"/>
  <c r="AF329" i="1"/>
  <c r="AG329" i="1" s="1"/>
  <c r="AF158" i="1"/>
  <c r="AG158" i="1" s="1"/>
  <c r="AF174" i="1"/>
  <c r="AG174" i="1" s="1"/>
  <c r="AF51" i="1"/>
  <c r="AG51" i="1" s="1"/>
  <c r="AF59" i="1"/>
  <c r="AG59" i="1" s="1"/>
  <c r="AF72" i="1"/>
  <c r="AG72" i="1" s="1"/>
  <c r="AF20" i="1"/>
  <c r="AG20" i="1" s="1"/>
  <c r="AF85" i="1"/>
  <c r="AG85" i="1" s="1"/>
  <c r="AF12" i="1"/>
  <c r="AG12" i="1" s="1"/>
  <c r="AF18" i="1"/>
  <c r="AG18" i="1" s="1"/>
  <c r="AF23" i="1"/>
  <c r="AG23" i="1" s="1"/>
  <c r="AF103" i="1"/>
  <c r="AG103" i="1" s="1"/>
  <c r="AF15" i="1"/>
  <c r="AG15" i="1" s="1"/>
  <c r="AF14" i="1"/>
  <c r="AG14" i="1" s="1"/>
  <c r="AF133" i="1"/>
  <c r="AG133" i="1" s="1"/>
  <c r="AF126" i="1"/>
  <c r="AG126" i="1" s="1"/>
  <c r="AF118" i="1"/>
  <c r="AG118" i="1" s="1"/>
  <c r="AF101" i="1"/>
  <c r="AG101" i="1" s="1"/>
  <c r="AF5" i="1"/>
  <c r="AG5" i="1" s="1"/>
  <c r="AF10" i="1"/>
  <c r="AG10" i="1" s="1"/>
  <c r="AF81" i="1"/>
  <c r="AG81" i="1" s="1"/>
  <c r="AF112" i="1"/>
  <c r="AG112" i="1" s="1"/>
  <c r="AF89" i="1"/>
  <c r="AG89" i="1" s="1"/>
  <c r="AF48" i="1"/>
  <c r="AG48" i="1" s="1"/>
  <c r="AF210" i="1"/>
  <c r="AG210" i="1" s="1"/>
  <c r="AF214" i="1"/>
  <c r="AG214" i="1" s="1"/>
  <c r="AF270" i="1"/>
  <c r="AG270" i="1" s="1"/>
  <c r="AF209" i="1"/>
  <c r="AG209" i="1" s="1"/>
  <c r="AF263" i="1"/>
  <c r="AG263" i="1" s="1"/>
  <c r="AF156" i="1"/>
  <c r="AG156" i="1" s="1"/>
  <c r="AF277" i="1"/>
  <c r="AG277" i="1" s="1"/>
  <c r="AF160" i="1"/>
  <c r="AG160" i="1" s="1"/>
  <c r="AF234" i="1"/>
  <c r="AG234" i="1" s="1"/>
  <c r="AF19" i="1"/>
  <c r="AG19" i="1" s="1"/>
  <c r="AF11" i="1"/>
  <c r="AG11" i="1" s="1"/>
  <c r="AF25" i="1"/>
  <c r="AG25" i="1" s="1"/>
  <c r="AF16" i="1"/>
  <c r="AG16" i="1" s="1"/>
  <c r="AF55" i="1"/>
  <c r="AG55" i="1" s="1"/>
  <c r="AF211" i="1"/>
  <c r="AG211" i="1" s="1"/>
  <c r="AF292" i="1"/>
  <c r="AG292" i="1" s="1"/>
  <c r="AF312" i="1"/>
  <c r="AG312" i="1" s="1"/>
  <c r="AF73" i="1"/>
  <c r="AG73" i="1" s="1"/>
  <c r="AF288" i="1"/>
  <c r="AG288" i="1" s="1"/>
  <c r="AF52" i="1"/>
  <c r="AG52" i="1" s="1"/>
  <c r="AF32" i="1"/>
  <c r="AG32" i="1" s="1"/>
  <c r="AF70" i="1"/>
  <c r="AG70" i="1" s="1"/>
  <c r="AF217" i="1"/>
  <c r="AG217" i="1" s="1"/>
  <c r="AF28" i="1"/>
  <c r="AG28" i="1" s="1"/>
  <c r="AF30" i="1"/>
  <c r="AG30" i="1" s="1"/>
  <c r="AF223" i="1"/>
  <c r="AG223" i="1" s="1"/>
  <c r="AF137" i="1"/>
  <c r="AG137" i="1" s="1"/>
  <c r="AF225" i="1"/>
  <c r="AG225" i="1" s="1"/>
  <c r="AF129" i="1"/>
  <c r="AG129" i="1" s="1"/>
  <c r="AF212" i="1"/>
  <c r="AG212" i="1" s="1"/>
  <c r="AF337" i="1"/>
  <c r="AG337" i="1" s="1"/>
  <c r="AF207" i="1"/>
  <c r="AG207" i="1" s="1"/>
  <c r="AF185" i="1"/>
  <c r="AG185" i="1" s="1"/>
  <c r="AF257" i="1"/>
  <c r="AG257" i="1" s="1"/>
  <c r="AF323" i="1"/>
  <c r="AG323" i="1" s="1"/>
  <c r="AF150" i="1"/>
  <c r="AG150" i="1" s="1"/>
  <c r="AF98" i="1"/>
  <c r="AG98" i="1" s="1"/>
  <c r="AF116" i="1"/>
  <c r="AG116" i="1" s="1"/>
  <c r="AF267" i="1"/>
  <c r="AG267" i="1" s="1"/>
  <c r="AF84" i="1"/>
  <c r="AG84" i="1" s="1"/>
  <c r="AF269" i="1"/>
  <c r="AG269" i="1" s="1"/>
  <c r="AF136" i="1"/>
  <c r="AG136" i="1" s="1"/>
  <c r="AF24" i="1"/>
  <c r="AG24" i="1" s="1"/>
  <c r="AF109" i="1"/>
  <c r="AG109" i="1" s="1"/>
  <c r="AF107" i="1"/>
  <c r="AG107" i="1" s="1"/>
  <c r="AF135" i="1"/>
  <c r="AG135" i="1" s="1"/>
  <c r="AF64" i="1"/>
  <c r="AG64" i="1" s="1"/>
  <c r="AF78" i="1"/>
  <c r="AG78" i="1" s="1"/>
  <c r="AF283" i="1"/>
  <c r="AG283" i="1" s="1"/>
  <c r="AF35" i="1"/>
  <c r="AG35" i="1" s="1"/>
  <c r="AF68" i="1"/>
  <c r="AG68" i="1" s="1"/>
  <c r="AF62" i="1"/>
  <c r="AG62" i="1" s="1"/>
  <c r="AF171" i="1"/>
  <c r="AG171" i="1" s="1"/>
  <c r="AF132" i="1"/>
  <c r="AG132" i="1" s="1"/>
  <c r="AF114" i="1"/>
  <c r="AG114" i="1" s="1"/>
  <c r="AF216" i="1"/>
  <c r="AG216" i="1" s="1"/>
  <c r="AF142" i="1"/>
  <c r="AG142" i="1" s="1"/>
  <c r="AF41" i="1"/>
  <c r="AG41" i="1" s="1"/>
  <c r="AF282" i="1"/>
  <c r="AG282" i="1" s="1"/>
  <c r="AF74" i="1"/>
  <c r="AG74" i="1" s="1"/>
  <c r="AF8" i="1"/>
  <c r="AG8" i="1" s="1"/>
  <c r="AF139" i="1"/>
  <c r="AG139" i="1" s="1"/>
  <c r="AF153" i="1"/>
  <c r="AG153" i="1" s="1"/>
  <c r="AF121" i="1"/>
  <c r="AG121" i="1" s="1"/>
  <c r="AF106" i="1"/>
  <c r="AG106" i="1" s="1"/>
  <c r="AF76" i="1"/>
  <c r="AG76" i="1" s="1"/>
  <c r="AF287" i="1"/>
  <c r="AG287" i="1" s="1"/>
  <c r="AF105" i="1"/>
  <c r="AG105" i="1" s="1"/>
  <c r="AF264" i="1"/>
  <c r="AG264" i="1" s="1"/>
  <c r="AF37" i="1"/>
  <c r="AG37" i="1" s="1"/>
  <c r="AF42" i="1"/>
  <c r="AG42" i="1" s="1"/>
  <c r="AF155" i="1"/>
  <c r="AG155" i="1" s="1"/>
  <c r="AF194" i="1"/>
  <c r="AG194" i="1" s="1"/>
  <c r="AF177" i="1"/>
  <c r="AG177" i="1" s="1"/>
  <c r="AF27" i="1"/>
  <c r="AG27" i="1" s="1"/>
  <c r="AF247" i="1"/>
  <c r="AG247" i="1" s="1"/>
  <c r="AF202" i="1"/>
  <c r="AG202" i="1" s="1"/>
  <c r="AF157" i="1"/>
  <c r="AG157" i="1" s="1"/>
  <c r="AF180" i="1"/>
  <c r="AG180" i="1" s="1"/>
  <c r="AF50" i="1"/>
  <c r="AG50" i="1" s="1"/>
  <c r="AF60" i="1"/>
  <c r="AG60" i="1" s="1"/>
  <c r="AF87" i="1"/>
  <c r="AG87" i="1" s="1"/>
  <c r="AF295" i="1"/>
  <c r="AG295" i="1" s="1"/>
  <c r="AF318" i="1"/>
  <c r="AG318" i="1" s="1"/>
  <c r="AF332" i="1"/>
  <c r="AG332" i="1" s="1"/>
  <c r="AF91" i="1"/>
  <c r="AG91" i="1" s="1"/>
  <c r="AF125" i="1"/>
  <c r="AG125" i="1" s="1"/>
  <c r="AF238" i="1"/>
  <c r="AG238" i="1" s="1"/>
  <c r="AF297" i="1"/>
  <c r="AG297" i="1" s="1"/>
  <c r="AF63" i="1"/>
  <c r="AG63" i="1" s="1"/>
  <c r="AF17" i="1"/>
  <c r="AG17" i="1" s="1"/>
  <c r="AF46" i="1"/>
  <c r="AG46" i="1" s="1"/>
  <c r="AF141" i="1"/>
  <c r="AG141" i="1" s="1"/>
  <c r="AF151" i="1"/>
  <c r="AG151" i="1" s="1"/>
  <c r="AF145" i="1"/>
  <c r="AG145" i="1" s="1"/>
  <c r="AF95" i="1"/>
  <c r="AG95" i="1" s="1"/>
  <c r="AF149" i="1"/>
  <c r="AG149" i="1" s="1"/>
  <c r="AF100" i="1"/>
  <c r="AG100" i="1" s="1"/>
  <c r="AF71" i="1"/>
  <c r="AG71" i="1" s="1"/>
  <c r="AF49" i="1"/>
  <c r="AG49" i="1" s="1"/>
  <c r="AF117" i="1"/>
  <c r="AG117" i="1" s="1"/>
  <c r="AF122" i="1"/>
  <c r="AG122" i="1" s="1"/>
  <c r="AF110" i="1"/>
  <c r="AG110" i="1" s="1"/>
  <c r="AF83" i="1"/>
  <c r="AG83" i="1" s="1"/>
  <c r="AF80" i="1"/>
  <c r="AG80" i="1" s="1"/>
  <c r="AF246" i="1"/>
  <c r="AG246" i="1" s="1"/>
  <c r="AF96" i="1"/>
  <c r="AG96" i="1" s="1"/>
  <c r="AF130" i="1"/>
  <c r="AG130" i="1" s="1"/>
  <c r="AF302" i="1"/>
  <c r="AG302" i="1" s="1"/>
  <c r="AF293" i="1"/>
  <c r="AG293" i="1" s="1"/>
  <c r="AF69" i="1"/>
  <c r="AG69" i="1" s="1"/>
  <c r="AF253" i="1"/>
  <c r="AG253" i="1" s="1"/>
  <c r="AF111" i="1"/>
  <c r="AG111" i="1" s="1"/>
  <c r="AF90" i="1"/>
  <c r="AG90" i="1" s="1"/>
  <c r="AF99" i="1"/>
  <c r="AG99" i="1" s="1"/>
  <c r="AF319" i="1"/>
  <c r="AG319" i="1" s="1"/>
  <c r="AF291" i="1"/>
  <c r="AG291" i="1" s="1"/>
  <c r="AF331" i="1"/>
  <c r="AG331" i="1" s="1"/>
  <c r="AF93" i="1"/>
  <c r="AG93" i="1" s="1"/>
  <c r="AF272" i="1"/>
  <c r="AG272" i="1" s="1"/>
  <c r="AF338" i="1"/>
  <c r="AG338" i="1" s="1"/>
  <c r="AF255" i="1"/>
  <c r="AG255" i="1" s="1"/>
  <c r="AF315" i="1"/>
  <c r="AG315" i="1" s="1"/>
  <c r="AF280" i="1"/>
  <c r="AG280" i="1" s="1"/>
  <c r="AF75" i="1"/>
  <c r="AG75" i="1" s="1"/>
  <c r="AF203" i="1"/>
  <c r="AG203" i="1" s="1"/>
  <c r="AF189" i="1"/>
  <c r="AG189" i="1" s="1"/>
  <c r="AF175" i="1"/>
  <c r="AG175" i="1" s="1"/>
  <c r="AF219" i="1"/>
  <c r="AG219" i="1" s="1"/>
  <c r="AF268" i="1"/>
  <c r="AG268" i="1" s="1"/>
  <c r="AF184" i="1"/>
  <c r="AG184" i="1" s="1"/>
  <c r="AF4" i="1"/>
  <c r="AG4" i="1" s="1"/>
  <c r="AF13" i="1"/>
  <c r="AG13" i="1" s="1"/>
  <c r="AF29" i="1"/>
  <c r="AG29" i="1" s="1"/>
  <c r="AF7" i="1"/>
  <c r="AG7" i="1" s="1"/>
  <c r="AF3" i="1"/>
  <c r="AG3" i="1" s="1"/>
  <c r="AF144" i="1"/>
  <c r="AG144" i="1" s="1"/>
  <c r="AF322" i="1"/>
  <c r="AG322" i="1" s="1"/>
  <c r="AF113" i="1"/>
  <c r="AG113" i="1" s="1"/>
  <c r="AF58" i="1"/>
  <c r="AG58" i="1" s="1"/>
  <c r="AF226" i="1"/>
  <c r="AG226" i="1" s="1"/>
  <c r="AF344" i="1"/>
  <c r="AG344" i="1" s="1"/>
  <c r="AF262" i="1"/>
  <c r="AG262" i="1" s="1"/>
  <c r="AF228" i="1"/>
  <c r="AG228" i="1" s="1"/>
  <c r="AF188" i="1"/>
  <c r="AG188" i="1" s="1"/>
  <c r="AF187" i="1"/>
  <c r="AG187" i="1" s="1"/>
  <c r="AF343" i="1"/>
  <c r="AG343" i="1" s="1"/>
  <c r="AF240" i="1"/>
  <c r="AG240" i="1" s="1"/>
  <c r="AF242" i="1"/>
  <c r="AG242" i="1" s="1"/>
  <c r="AF266" i="1"/>
  <c r="AG266" i="1" s="1"/>
  <c r="AF123" i="1"/>
  <c r="AG123" i="1" s="1"/>
  <c r="AF333" i="1"/>
  <c r="AG333" i="1" s="1"/>
  <c r="AF146" i="1"/>
  <c r="AG146" i="1" s="1"/>
  <c r="AF134" i="1"/>
  <c r="AG134" i="1" s="1"/>
  <c r="AF300" i="1"/>
  <c r="AG300" i="1" s="1"/>
  <c r="AF241" i="1"/>
  <c r="AG241" i="1" s="1"/>
  <c r="AF192" i="1"/>
  <c r="AG192" i="1" s="1"/>
  <c r="AF206" i="1"/>
  <c r="AG206" i="1" s="1"/>
  <c r="AF274" i="1"/>
  <c r="AG274" i="1" s="1"/>
  <c r="AF208" i="1"/>
  <c r="AG208" i="1" s="1"/>
  <c r="AF176" i="1"/>
  <c r="AG176" i="1" s="1"/>
  <c r="AF265" i="1"/>
  <c r="AG265" i="1" s="1"/>
  <c r="AF341" i="1"/>
  <c r="AG341" i="1" s="1"/>
  <c r="AF261" i="1"/>
  <c r="AG261" i="1" s="1"/>
  <c r="AF342" i="1"/>
  <c r="AG342" i="1" s="1"/>
  <c r="AF127" i="1"/>
  <c r="AG127" i="1" s="1"/>
  <c r="AF167" i="1"/>
  <c r="AG167" i="1" s="1"/>
  <c r="AF128" i="1"/>
  <c r="AG128" i="1" s="1"/>
  <c r="AF178" i="1"/>
  <c r="AG178" i="1" s="1"/>
  <c r="AF162" i="1"/>
  <c r="AG162" i="1" s="1"/>
  <c r="AF159" i="1"/>
  <c r="AG159" i="1" s="1"/>
  <c r="AF296" i="1"/>
  <c r="AG296" i="1" s="1"/>
  <c r="AF166" i="1"/>
  <c r="AG166" i="1" s="1"/>
  <c r="AF163" i="1"/>
  <c r="AG163" i="1" s="1"/>
  <c r="AF328" i="1"/>
  <c r="AG328" i="1" s="1"/>
  <c r="AF281" i="1"/>
  <c r="AG281" i="1" s="1"/>
  <c r="AF230" i="1"/>
  <c r="AG230" i="1" s="1"/>
  <c r="AF108" i="1"/>
  <c r="AG108" i="1" s="1"/>
  <c r="AF304" i="1"/>
  <c r="AG304" i="1" s="1"/>
  <c r="AF305" i="1"/>
  <c r="AG305" i="1" s="1"/>
  <c r="AF276" i="1"/>
  <c r="AG276" i="1" s="1"/>
  <c r="AF310" i="1"/>
  <c r="AG310" i="1" s="1"/>
  <c r="AF314" i="1"/>
  <c r="AG314" i="1" s="1"/>
  <c r="AF119" i="1"/>
  <c r="AG119" i="1" s="1"/>
  <c r="AF104" i="1"/>
  <c r="AG104" i="1" s="1"/>
  <c r="AF307" i="1"/>
  <c r="AG307" i="1" s="1"/>
  <c r="AF65" i="1"/>
  <c r="AG65" i="1" s="1"/>
  <c r="AF115" i="1"/>
  <c r="AG115" i="1" s="1"/>
  <c r="AF311" i="1"/>
  <c r="AG311" i="1" s="1"/>
  <c r="AF308" i="1"/>
  <c r="AG308" i="1" s="1"/>
  <c r="AF67" i="1"/>
  <c r="AG67" i="1" s="1"/>
  <c r="AF299" i="1" l="1"/>
  <c r="AG299" i="1" s="1"/>
</calcChain>
</file>

<file path=xl/sharedStrings.xml><?xml version="1.0" encoding="utf-8"?>
<sst xmlns="http://schemas.openxmlformats.org/spreadsheetml/2006/main" count="4470" uniqueCount="1240">
  <si>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</si>
  <si>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</si>
  <si>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</si>
  <si>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</si>
  <si>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</si>
  <si>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</si>
  <si>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</si>
  <si>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</si>
  <si>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</si>
  <si>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</si>
  <si>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</si>
  <si>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</si>
  <si>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</si>
  <si>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</si>
  <si>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</si>
  <si>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</si>
  <si>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</si>
  <si>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</si>
  <si>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</si>
  <si>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</si>
  <si>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</si>
  <si>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</si>
  <si>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</si>
  <si>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</si>
  <si>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</si>
  <si>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</si>
  <si>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</si>
  <si>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</si>
  <si>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</si>
  <si>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</si>
  <si>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</si>
  <si>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CDX IG</t>
  </si>
  <si>
    <t>0.03-0.07</t>
  </si>
  <si>
    <t>5Y</t>
  </si>
  <si>
    <t>Sell Protection</t>
  </si>
  <si>
    <t>ITRAXX XOVER</t>
  </si>
  <si>
    <t>0.35-1.0</t>
  </si>
  <si>
    <t>Buy Protection</t>
  </si>
  <si>
    <t>compression</t>
  </si>
  <si>
    <t>1,634,336 [1541.0d] [100.0%]</t>
  </si>
  <si>
    <t>-248,263 [331.0d] [-166.0%]</t>
  </si>
  <si>
    <t>1,631,621 [100.0%] [profitable:98.0%]</t>
  </si>
  <si>
    <t>CLOSE ME!</t>
  </si>
  <si>
    <t>0.0-1.0</t>
  </si>
  <si>
    <t>ITRAXX MAIN</t>
  </si>
  <si>
    <t>0.06-0.12</t>
  </si>
  <si>
    <t>401,512 [1371d] [61.0%]</t>
  </si>
  <si>
    <t>-762,450 [436d] [-65.0%]</t>
  </si>
  <si>
    <t>392,973 [57.0%] [profitable:78.0%]</t>
  </si>
  <si>
    <t>0.2-0.35</t>
  </si>
  <si>
    <t>0.03-0.06</t>
  </si>
  <si>
    <t>613,705 [1541.0d] [100.0%]</t>
  </si>
  <si>
    <t>-375,806 [436.0d] [-190.0%]</t>
  </si>
  <si>
    <t>584,607 [100.0%] [profitable:76.0%]</t>
  </si>
  <si>
    <t>1,048,126 [1541.0d] [100.0%]</t>
  </si>
  <si>
    <t>-483,115 [436.0d] [-90.0%]</t>
  </si>
  <si>
    <t>1,020,315 [100.0%] [profitable:91.0%]</t>
  </si>
  <si>
    <t>ITRAXX FINS SUB</t>
  </si>
  <si>
    <t>CDX HY</t>
  </si>
  <si>
    <t>42,513 [13d] [1558.0%]</t>
  </si>
  <si>
    <t>-1,181,074 [605d] [-133.0%]</t>
  </si>
  <si>
    <t>-1,030,377 [-36.0%] [profitable:1.0%]</t>
  </si>
  <si>
    <t>932,226 [1240.0d] [100%]</t>
  </si>
  <si>
    <t>221,567 [331.0d] [100%]</t>
  </si>
  <si>
    <t>924,520 [100%] [profitable:100.0%]</t>
  </si>
  <si>
    <t>529,746 [1372d] [100.0%]</t>
  </si>
  <si>
    <t>-827,180 [436d] [-92.0%]</t>
  </si>
  <si>
    <t>523,812 [100.0%] [profitable:77.0%]</t>
  </si>
  <si>
    <t>0.15-0.25</t>
  </si>
  <si>
    <t>1,406,244 [1240.0d] [100.0%]</t>
  </si>
  <si>
    <t>-488,436 [331.0d] [-219.0%]</t>
  </si>
  <si>
    <t>1,404,929 [100.0%] [profitable:96.0%]</t>
  </si>
  <si>
    <t>298,488 [1366.0d] [375.0%]</t>
  </si>
  <si>
    <t>-420,493 [338.0d] [-84.0%]</t>
  </si>
  <si>
    <t>298,356 [359.0%] [profitable:62.0%]</t>
  </si>
  <si>
    <t>1,166,131 [1541.0d] [100.0%]</t>
  </si>
  <si>
    <t>-410,109 [436.0d] [-872.0%]</t>
  </si>
  <si>
    <t>1,135,191 [100.0%] [profitable:92.0%]</t>
  </si>
  <si>
    <t>7Y</t>
  </si>
  <si>
    <t>2,529,128 [205d] [295.0%]</t>
  </si>
  <si>
    <t>-701,234 [1388d] [-1283.0%]</t>
  </si>
  <si>
    <t>-658,504 [-241.0%] [profitable:61.0%]</t>
  </si>
  <si>
    <t>0.1-0.2</t>
  </si>
  <si>
    <t>1,133,200 [1384.0d] [560.0%]</t>
  </si>
  <si>
    <t>-1,491,563 [211.0d] [-116.0%]</t>
  </si>
  <si>
    <t>1,128,307 [550.0%] [profitable:65.0%]</t>
  </si>
  <si>
    <t>791,357 [82.0d] [100%]</t>
  </si>
  <si>
    <t>339,357 [1393.0d] [100%]</t>
  </si>
  <si>
    <t>339,357 [100%] [profitable:100.0%]</t>
  </si>
  <si>
    <t>Y (456,712)</t>
  </si>
  <si>
    <t>720,701 [1379d] [100.0%]</t>
  </si>
  <si>
    <t>-1,029,912 [286d] [-80.0%]</t>
  </si>
  <si>
    <t>719,754 [100.0%] [profitable:67.0%]</t>
  </si>
  <si>
    <t>4,321,718 [1392d] [100.0%]</t>
  </si>
  <si>
    <t>-2,077,960 [287d] [-103.0%]</t>
  </si>
  <si>
    <t>4,310,569 [100.0%] [profitable:74.0%]</t>
  </si>
  <si>
    <t>1,169,492 [1393.0d] [100%]</t>
  </si>
  <si>
    <t>361,106 [286.0d] [100%]</t>
  </si>
  <si>
    <t>765,532 [100%] [profitable:100.0%]</t>
  </si>
  <si>
    <t>Y (160,464)</t>
  </si>
  <si>
    <t>455,509 [1393.0d] [100.0%]</t>
  </si>
  <si>
    <t>-324,989 [288.0d] [-268.0%]</t>
  </si>
  <si>
    <t>443,188 [100.0%] [profitable:81.0%]</t>
  </si>
  <si>
    <t>715,957 [72.0d] [100%]</t>
  </si>
  <si>
    <t>405,898 [286.0d] [100%]</t>
  </si>
  <si>
    <t>478,311 [100%] [profitable:100.0%]</t>
  </si>
  <si>
    <t>Y (210,546)</t>
  </si>
  <si>
    <t>1,652,503 [1377.0d] [100.0%]</t>
  </si>
  <si>
    <t>-519,595 [183.0d] [-440.0%]</t>
  </si>
  <si>
    <t>1,651,271 [100.0%] [profitable:77.0%]</t>
  </si>
  <si>
    <t>Y</t>
  </si>
  <si>
    <t>946,548 [1393.0d] [124.0%]</t>
  </si>
  <si>
    <t>-171,459 [183.0d] [-33.0%]</t>
  </si>
  <si>
    <t>778,901 [116.0%] [profitable:99.0%]</t>
  </si>
  <si>
    <t>Y (88,144)</t>
  </si>
  <si>
    <t>1,363,192 [1302d] [100.0%]</t>
  </si>
  <si>
    <t>-772,462 [92d] [-725.0%]</t>
  </si>
  <si>
    <t>1,363,192 [100.0%] [profitable:85.0%]</t>
  </si>
  <si>
    <t>decompression</t>
  </si>
  <si>
    <t>1,395,192 [496d] [100.0%]</t>
  </si>
  <si>
    <t>-172,253 [211d] [-6.0%]</t>
  </si>
  <si>
    <t>1,087,321 [8.0%] [profitable:99.0%]</t>
  </si>
  <si>
    <t>0.12-1.0</t>
  </si>
  <si>
    <t>2,018,878 [1301.0d] [100.0%]</t>
  </si>
  <si>
    <t>-1,108,896 [92.0d] [-483.0%]</t>
  </si>
  <si>
    <t>2,018,572 [100.0%] [profitable:83.0%]</t>
  </si>
  <si>
    <t>Y (66,567)</t>
  </si>
  <si>
    <t>1,273,732 [1301.0d] [100.0%]</t>
  </si>
  <si>
    <t>-954,527 [92.0d] [-339.0%]</t>
  </si>
  <si>
    <t>1,266,166 [100.0%] [profitable:86.0%]</t>
  </si>
  <si>
    <t>Y (41,210)</t>
  </si>
  <si>
    <t>646,768 [992.0d] [100.0%]</t>
  </si>
  <si>
    <t>-434,221 [92.0d] [-301.0%]</t>
  </si>
  <si>
    <t>646,047 [100.0%] [profitable:87.0%]</t>
  </si>
  <si>
    <t>Y (5,546)</t>
  </si>
  <si>
    <t>808,391 [1301.0d] [100.0%]</t>
  </si>
  <si>
    <t>-435,441 [92.0d] [-815.0%]</t>
  </si>
  <si>
    <t>808,311 [100.0%] [profitable:87.0%]</t>
  </si>
  <si>
    <t>925,522 [1148.0d] [100.0%]</t>
  </si>
  <si>
    <t>-348,504 [92.0d] [-307.0%]</t>
  </si>
  <si>
    <t>908,519 [100.0%] [profitable:92.0%]</t>
  </si>
  <si>
    <t>Y (3,679)</t>
  </si>
  <si>
    <t>0.07-0.15</t>
  </si>
  <si>
    <t>779,154 [1301d] [232.0%]</t>
  </si>
  <si>
    <t>-349,682 [92d] [-335.0%]</t>
  </si>
  <si>
    <t>778,678 [232.0%] [profitable:92.0%]</t>
  </si>
  <si>
    <t>2,368,593 [1302.0d] [100.0%]</t>
  </si>
  <si>
    <t>257,073 [92.0d] [196.0%]</t>
  </si>
  <si>
    <t>2,173,295 [100.0%] [profitable:100.0%]</t>
  </si>
  <si>
    <t>Y (65,965)</t>
  </si>
  <si>
    <t>341,793 [1301d] [100.0%]</t>
  </si>
  <si>
    <t>-111,554 [92d] [-864.0%]</t>
  </si>
  <si>
    <t>341,363 [100.0%] [profitable:95.0%]</t>
  </si>
  <si>
    <t>6,703,072 [1235d] [634.0%]</t>
  </si>
  <si>
    <t>-1,791,884 [55d] [-166.0%]</t>
  </si>
  <si>
    <t>6,694,507 [634.0%] [profitable:90.0%]</t>
  </si>
  <si>
    <t>Y (493,615)</t>
  </si>
  <si>
    <t>529,814 [697d] [100.0%]</t>
  </si>
  <si>
    <t>-98,461 [27d] [-1177.0%]</t>
  </si>
  <si>
    <t>474,895 [100.0%] [profitable:98.0%]</t>
  </si>
  <si>
    <t>1,095,000 [1231d] [9.0%]</t>
  </si>
  <si>
    <t>-283,171 [126d] [-21.0%]</t>
  </si>
  <si>
    <t>1,083,623 [9.0%] [profitable:91.0%]</t>
  </si>
  <si>
    <t>Y (207,768)</t>
  </si>
  <si>
    <t>695,943 [161d] [100.0%]</t>
  </si>
  <si>
    <t>-108,044 [25d] [-2135.0%]</t>
  </si>
  <si>
    <t>544,358 [37.0%] [profitable:99.0%]</t>
  </si>
  <si>
    <t>766,707 [1236d] [100.0%]</t>
  </si>
  <si>
    <t>-617,517 [27d] [-2117.0%]</t>
  </si>
  <si>
    <t>766,683 [100.0%] [profitable:92.0%]</t>
  </si>
  <si>
    <t>721,177 [969d] [154.0%]</t>
  </si>
  <si>
    <t>-170,354 [27d] [-135493.0%]</t>
  </si>
  <si>
    <t>654,927 [46.0%] [profitable:99.0%]</t>
  </si>
  <si>
    <t>700,099 [1055d] [213.0%]</t>
  </si>
  <si>
    <t>-170,354 [27d] [-4654.0%]</t>
  </si>
  <si>
    <t>654,569 [87.0%] [profitable:99.0%]</t>
  </si>
  <si>
    <t>515,697 [1236.0d] [100.0%]</t>
  </si>
  <si>
    <t>-99,184 [130.0d] [-1026.0%]</t>
  </si>
  <si>
    <t>515,660 [100.0%] [profitable:91.0%]</t>
  </si>
  <si>
    <t>712,580 [154d] [100.0%]</t>
  </si>
  <si>
    <t>-146,281 [21d] [-1732.0%]</t>
  </si>
  <si>
    <t>372,731 [17.0%] [profitable:99.0%]</t>
  </si>
  <si>
    <t>613,444 [472d] [100.0%]</t>
  </si>
  <si>
    <t>-133,719 [27d] [-5285.0%]</t>
  </si>
  <si>
    <t>549,837 [64.0%] [profitable:99.0%]</t>
  </si>
  <si>
    <t>6,820,581 [890.0d] [100.0%]</t>
  </si>
  <si>
    <t>-105,430 [1.0d] [-925.0%]</t>
  </si>
  <si>
    <t>10,004 [0.0%] [profitable:93.0%]</t>
  </si>
  <si>
    <t>564,937 [1188d] [100.0%]</t>
  </si>
  <si>
    <t>-43,794 [82d] [-23.0%]</t>
  </si>
  <si>
    <t>563,531 [100.0%] [profitable:99.0%]</t>
  </si>
  <si>
    <t>476,540 [1007d] [100.0%]</t>
  </si>
  <si>
    <t>-16,902 [82d] [-80.0%]</t>
  </si>
  <si>
    <t>443,842 [467.0%] [profitable:100.0%]</t>
  </si>
  <si>
    <t>953,349 [90d] [151.0%]</t>
  </si>
  <si>
    <t>-247,585 [937d] [-3.0%]</t>
  </si>
  <si>
    <t>192,921 [2.0%] [profitable:100.0%]</t>
  </si>
  <si>
    <t>1,538,498 [1188d] [100.0%]</t>
  </si>
  <si>
    <t>-335,444 [35d] [-97.0%]</t>
  </si>
  <si>
    <t>1,521,328 [100.0%] [profitable:82.0%]</t>
  </si>
  <si>
    <t>265,209 [1188d] [100.0%]</t>
  </si>
  <si>
    <t>-44,359 [82d] [-83.0%]</t>
  </si>
  <si>
    <t>264,678 [100.0%] [profitable:99.0%]</t>
  </si>
  <si>
    <t>421,266 [424d] [100.0%]</t>
  </si>
  <si>
    <t>-110,139 [6d] [-7208.0%]</t>
  </si>
  <si>
    <t>358,536 [22.0%] [profitable:100.0%]</t>
  </si>
  <si>
    <t>522,579 [1007d] [60.0%]</t>
  </si>
  <si>
    <t>-112,737 [6d] [-8805.0%]</t>
  </si>
  <si>
    <t>476,449 [34.0%] [profitable:100.0%]</t>
  </si>
  <si>
    <t>613,512 [1188d] [100.0%]</t>
  </si>
  <si>
    <t>-120,270 [6d] [-903.0%]</t>
  </si>
  <si>
    <t>605,980 [100.0%] [profitable:100.0%]</t>
  </si>
  <si>
    <t>8,677,709 [1183d] [100.0%]</t>
  </si>
  <si>
    <t>-875,682 [82d] [-112.0%]</t>
  </si>
  <si>
    <t>8,659,100 [100.0%] [profitable:97.0%]</t>
  </si>
  <si>
    <t>9,454,874 [1021.0d] [100.0%]</t>
  </si>
  <si>
    <t>-984,538 [4.0d] [-1254.0%]</t>
  </si>
  <si>
    <t>9,454,874 [100.0%] [profitable:98.0%]</t>
  </si>
  <si>
    <t>Y (2,036,247)</t>
  </si>
  <si>
    <t>2,253,652 [1019d] [100.0%]</t>
  </si>
  <si>
    <t>-103,268 [83d] [-126.0%]</t>
  </si>
  <si>
    <t>2,248,808 [100.0%] [profitable:99.0%]</t>
  </si>
  <si>
    <t>2,548,742 [1012d] [100.0%]</t>
  </si>
  <si>
    <t>-111,002 [83d] [-303.0%]</t>
  </si>
  <si>
    <t>2,539,628 [100.0%] [profitable:99.0%]</t>
  </si>
  <si>
    <t>2,448,362 [1012.0d] [100.0%]</t>
  </si>
  <si>
    <t>-71,895 [83.0d] [-37.0%]</t>
  </si>
  <si>
    <t>2,435,731 [100.0%] [profitable:100.0%]</t>
  </si>
  <si>
    <t>2,527,378 [1012.0d] [100.0%]</t>
  </si>
  <si>
    <t>-85,891 [83.0d] [-43.0%]</t>
  </si>
  <si>
    <t>2,513,618 [100.0%] [profitable:100.0%]</t>
  </si>
  <si>
    <t>Y (6,001)</t>
  </si>
  <si>
    <t>1,160,943 [1020.0d] [100.0%]</t>
  </si>
  <si>
    <t>-80,463 [81.0d] [-258.0%]</t>
  </si>
  <si>
    <t>1,160,741 [100.0%] [profitable:99.0%]</t>
  </si>
  <si>
    <t>Y (47,116)</t>
  </si>
  <si>
    <t>2,892,379 [1016.0d] [176.0%]</t>
  </si>
  <si>
    <t>-549,388 [1021.0d] [-6.0%]</t>
  </si>
  <si>
    <t>2,869,926 [174.0%] [profitable:99.0%]</t>
  </si>
  <si>
    <t>Y (387,861)</t>
  </si>
  <si>
    <t>944,662 [1020.0d] [100.0%]</t>
  </si>
  <si>
    <t>-101,898 [81.0d] [-223.0%]</t>
  </si>
  <si>
    <t>937,129 [100.0%] [profitable:98.0%]</t>
  </si>
  <si>
    <t>Y (42,381)</t>
  </si>
  <si>
    <t>896,928 [781.0d] [573.0%]</t>
  </si>
  <si>
    <t>-135,723 [1021.0d] [-14.0%]</t>
  </si>
  <si>
    <t>887,200 [327.0%] [profitable:98.0%]</t>
  </si>
  <si>
    <t>Y (69,086)</t>
  </si>
  <si>
    <t>10,007,462 [1016.0d] [100.0%]</t>
  </si>
  <si>
    <t>-315,152 [1021.0d] [-1.0%]</t>
  </si>
  <si>
    <t>9,941,858 [100.0%] [profitable:100.0%]</t>
  </si>
  <si>
    <t>Y (1,175,595)</t>
  </si>
  <si>
    <t>0.15-1.0</t>
  </si>
  <si>
    <t>117,318 [18d] [100.0%]</t>
  </si>
  <si>
    <t>-123,182 [776d] [-2.0%]</t>
  </si>
  <si>
    <t>-32,694 [-1.0%] [profitable:8.0%]</t>
  </si>
  <si>
    <t>335,675 [18d] [360.0%]</t>
  </si>
  <si>
    <t>-205,539 [26d] [-148.0%]</t>
  </si>
  <si>
    <t>39,248 [3.0%] [profitable:64.0%]</t>
  </si>
  <si>
    <t>1,538,670 [956.0d] [100.0%]</t>
  </si>
  <si>
    <t>-497,008 [958.0d] [-4.0%]</t>
  </si>
  <si>
    <t>1,538,090 [100.0%] [profitable:98.0%]</t>
  </si>
  <si>
    <t>69,853 [18d] [400.0%]</t>
  </si>
  <si>
    <t>-98,025 [264d] [-51.0%]</t>
  </si>
  <si>
    <t>23,001 [3.0%] [profitable:25.0%]</t>
  </si>
  <si>
    <t>1,087,818 [659.0d] [100.0%]</t>
  </si>
  <si>
    <t>-300,134 [27.0d] [-277.0%]</t>
  </si>
  <si>
    <t>929,458 [100.0%] [profitable:77.0%]</t>
  </si>
  <si>
    <t>Y (815,355)</t>
  </si>
  <si>
    <t>2,019,749 [958d] [100.0%]</t>
  </si>
  <si>
    <t>-610,604 [28d] [-551.0%]</t>
  </si>
  <si>
    <t>2,019,749 [100.0%] [profitable:80.0%]</t>
  </si>
  <si>
    <t>Y (988,336)</t>
  </si>
  <si>
    <t>1,990,883 [957d] [100.0%]</t>
  </si>
  <si>
    <t>-742,301 [43d] [-486.0%]</t>
  </si>
  <si>
    <t>1,955,397 [100.0%] [profitable:80.0%]</t>
  </si>
  <si>
    <t>Y (955,390)</t>
  </si>
  <si>
    <t>1,798,935 [706d] [100.0%]</t>
  </si>
  <si>
    <t>-404,708 [29d] [-524.0%]</t>
  </si>
  <si>
    <t>1,464,714 [100.0%] [profitable:90.0%]</t>
  </si>
  <si>
    <t>Y (529,603)</t>
  </si>
  <si>
    <t>634,926 [21d] [558.0%]</t>
  </si>
  <si>
    <t>-599,190 [788d] [-17.0%]</t>
  </si>
  <si>
    <t>-299,204 [-5.0%] [profitable:9.0%]</t>
  </si>
  <si>
    <t>0.25-0.35</t>
  </si>
  <si>
    <t>329,535 [957d] [28.0%]</t>
  </si>
  <si>
    <t>-74,107 [43d] [-75.0%]</t>
  </si>
  <si>
    <t>319,468 [27.0%] [profitable:98.0%]</t>
  </si>
  <si>
    <t>Y (208,341)</t>
  </si>
  <si>
    <t>1,661,679 [889.0d] [100.0%]</t>
  </si>
  <si>
    <t>-135,320 [169.0d] [-357.0%]</t>
  </si>
  <si>
    <t>97,843 [34.0%] [profitable:91.0%]</t>
  </si>
  <si>
    <t>1,415,154 [889.0d] [100.0%]</t>
  </si>
  <si>
    <t>-107,126 [13.0d] [-871.0%]</t>
  </si>
  <si>
    <t>1,415,154 [100.0%] [profitable:97.0%]</t>
  </si>
  <si>
    <t>Y (177,580)</t>
  </si>
  <si>
    <t>663,187 [623d] [100.0%]</t>
  </si>
  <si>
    <t>-89,520 [13d] [-465.0%]</t>
  </si>
  <si>
    <t>451,253 [100.0%] [profitable:98.0%]</t>
  </si>
  <si>
    <t>5,837,910 [889d] [100.0%]</t>
  </si>
  <si>
    <t>-440,322 [1d] [-3392.0%]</t>
  </si>
  <si>
    <t>5,837,910 [100.0%] [profitable:97.0%]</t>
  </si>
  <si>
    <t>Y (1,848,030)</t>
  </si>
  <si>
    <t>621,609 [623d] [100.0%]</t>
  </si>
  <si>
    <t>-79,433 [13d] [-1196.0%]</t>
  </si>
  <si>
    <t>569,005 [321.0%] [profitable:98.0%]</t>
  </si>
  <si>
    <t>8,065,342 [889d] [100.0%]</t>
  </si>
  <si>
    <t>-594,269 [1d] [-3220.0%]</t>
  </si>
  <si>
    <t>8,065,342 [100.0%] [profitable:97.0%]</t>
  </si>
  <si>
    <t>Y (3,096,464)</t>
  </si>
  <si>
    <t>588,952 [621d] [100.0%]</t>
  </si>
  <si>
    <t>-82,116 [13d] [-1589.0%]</t>
  </si>
  <si>
    <t>537,548 [281.0%] [profitable:98.0%]</t>
  </si>
  <si>
    <t>608,773 [707d] [100.0%]</t>
  </si>
  <si>
    <t>-75,941 [13d] [-1339.0%]</t>
  </si>
  <si>
    <t>528,743 [170.0%] [profitable:98.0%]</t>
  </si>
  <si>
    <t>850,524 [842d] [100.0%]</t>
  </si>
  <si>
    <t>-256,760 [110d] [-26.0%]</t>
  </si>
  <si>
    <t>843,245 [100.0%] [profitable:85.0%]</t>
  </si>
  <si>
    <t>568,399 [707d] [100.0%]</t>
  </si>
  <si>
    <t>-75,035 [13d] [-2136.0%]</t>
  </si>
  <si>
    <t>495,966 [172.0%] [profitable:98.0%]</t>
  </si>
  <si>
    <t>459,632 [602d] [100.0%]</t>
  </si>
  <si>
    <t>-89,282 [55d] [-14.0%]</t>
  </si>
  <si>
    <t>380,761 [100.0%] [profitable:95.0%]</t>
  </si>
  <si>
    <t>1,670,462 [783d] [100.0%]</t>
  </si>
  <si>
    <t>-123,515 [6d] [-616.0%]</t>
  </si>
  <si>
    <t>1,667,137 [100.0%] [profitable:98.0%]</t>
  </si>
  <si>
    <t>139,868 [127d] [100.0%]</t>
  </si>
  <si>
    <t>-186,254 [603d] [-3.0%]</t>
  </si>
  <si>
    <t>34,946 [100.0%] [profitable:66.0%]</t>
  </si>
  <si>
    <t>1,902,108 [603d] [100.0%]</t>
  </si>
  <si>
    <t>-34,517 [14d] [-18.0%]</t>
  </si>
  <si>
    <t>720,398 [10.0%] [profitable:99.0%]</t>
  </si>
  <si>
    <t>204,730 [49d] [100.0%]</t>
  </si>
  <si>
    <t>-245,722 [603d] [-4.0%]</t>
  </si>
  <si>
    <t>40,514 [100.0%] [profitable:50.0%]</t>
  </si>
  <si>
    <t>427,325 [50d] [250.0%]</t>
  </si>
  <si>
    <t>-615,891 [379d] [-309.0%]</t>
  </si>
  <si>
    <t>-294,231 [-11.0%] [profitable:3.0%]</t>
  </si>
  <si>
    <t>1,699,799 [783d] [100.0%]</t>
  </si>
  <si>
    <t>-170,916 [6d] [-542.0%]</t>
  </si>
  <si>
    <t>1,685,212 [100.0%] [profitable:98.0%]</t>
  </si>
  <si>
    <t>Y (692,197)</t>
  </si>
  <si>
    <t>350,769 [49d] [100.0%]</t>
  </si>
  <si>
    <t>-407,565 [90d] [-35.0%]</t>
  </si>
  <si>
    <t>-52,355 [-0.0%] [profitable:25.0%]</t>
  </si>
  <si>
    <t>945,784 [776d] [100.0%]</t>
  </si>
  <si>
    <t>-90,238 [6d] [-906.0%]</t>
  </si>
  <si>
    <t>939,186 [100.0%] [profitable:98.0%]</t>
  </si>
  <si>
    <t>16,351 [51d] [100.0%]</t>
  </si>
  <si>
    <t>-54,932 [321d] [-24.0%]</t>
  </si>
  <si>
    <t>14,741 [100.0%] [profitable:5.0%]</t>
  </si>
  <si>
    <t>4,992 [1d] [411.0%]</t>
  </si>
  <si>
    <t>-244,361 [407d] [-61.0%]</t>
  </si>
  <si>
    <t>-188,252 [-25.0%] [profitable:0.0%]</t>
  </si>
  <si>
    <t>1,028,226 [407d] [100.0%]</t>
  </si>
  <si>
    <t>-66,807 [9d] [-243.0%]</t>
  </si>
  <si>
    <t>912,307 [100.0%] [profitable:97.0%]</t>
  </si>
  <si>
    <t>Y (409,770)</t>
  </si>
  <si>
    <t>1,204,519 [407d] [100.0%]</t>
  </si>
  <si>
    <t>-212,168 [78d] [-63.0%]</t>
  </si>
  <si>
    <t>1,066,194 [100.0%] [profitable:87.0%]</t>
  </si>
  <si>
    <t>Y (347,746)</t>
  </si>
  <si>
    <t>1,009,498 [380d] [100.0%]</t>
  </si>
  <si>
    <t>-106,927 [9d] [-497.0%]</t>
  </si>
  <si>
    <t>755,678 [100.0%] [profitable:93.0%]</t>
  </si>
  <si>
    <t>Y (38,421)</t>
  </si>
  <si>
    <t>1,407,996 [450d] [100.0%]</t>
  </si>
  <si>
    <t>-79,851 [154d] [-13.0%]</t>
  </si>
  <si>
    <t>763,571 [100.0%] [profitable:99.0%]</t>
  </si>
  <si>
    <t>904,053 [449d] [100.0%]</t>
  </si>
  <si>
    <t>-266,516 [154d] [-10.0%]</t>
  </si>
  <si>
    <t>151,125 [100.0%] [profitable:64.0%]</t>
  </si>
  <si>
    <t>411,663 [449d] [100.0%]</t>
  </si>
  <si>
    <t>-163,821 [154d] [-8.0%]</t>
  </si>
  <si>
    <t>127,311 [100.0%] [profitable:73.0%]</t>
  </si>
  <si>
    <t>782,962 [626.0d] [100.0%]</t>
  </si>
  <si>
    <t>-73,361 [151.0d] [-5.0%]</t>
  </si>
  <si>
    <t>759,506 [100.0%] [profitable:96.0%]</t>
  </si>
  <si>
    <t>37,147 [423d] [100.0%]</t>
  </si>
  <si>
    <t>-345,164 [154d] [-21.0%]</t>
  </si>
  <si>
    <t>-109,289 [-1.0%] [profitable:4.0%]</t>
  </si>
  <si>
    <t>16,711 [9d] [233.0%]</t>
  </si>
  <si>
    <t>-191,042 [366d] [-79.0%]</t>
  </si>
  <si>
    <t>-151,061 [-39.0%] [profitable:4.0%]</t>
  </si>
  <si>
    <t>858,921 [450d] [100.0%]</t>
  </si>
  <si>
    <t>-147,388 [11d] [-1879.0%]</t>
  </si>
  <si>
    <t>88,532 [100.0%] [profitable:91.0%]</t>
  </si>
  <si>
    <t>504,825 [450d] [100.0%]</t>
  </si>
  <si>
    <t>-47,943 [175d] [-13.0%]</t>
  </si>
  <si>
    <t>120,263 [100.0%] [profitable:95.0%]</t>
  </si>
  <si>
    <t>942,679 [450d] [100.0%]</t>
  </si>
  <si>
    <t>-113,845 [151d] [-23.0%]</t>
  </si>
  <si>
    <t>292,096 [100.0%] [profitable:94.0%]</t>
  </si>
  <si>
    <t>547,064 [449d] [100.0%]</t>
  </si>
  <si>
    <t>-140,726 [154d] [-7.0%]</t>
  </si>
  <si>
    <t>338,757 [100.0%] [profitable:94.0%]</t>
  </si>
  <si>
    <t>198,581 [112d] [100.0%]</t>
  </si>
  <si>
    <t>-191,638 [274d] [-6.0%]</t>
  </si>
  <si>
    <t>-136,718 [-2.0%] [profitable:21.0%]</t>
  </si>
  <si>
    <t>679,650 [535d] [100.0%]</t>
  </si>
  <si>
    <t>-46,001 [0d] [-1064.0%]</t>
  </si>
  <si>
    <t>663,798 [100.0%] [profitable:98.0%]</t>
  </si>
  <si>
    <t>Y (70,276)</t>
  </si>
  <si>
    <t>682,750 [531d] [333.0%]</t>
  </si>
  <si>
    <t>-49,143 [0d] [-757.0%]</t>
  </si>
  <si>
    <t>663,312 [300.0%] [profitable:97.0%]</t>
  </si>
  <si>
    <t>Y (130,017)</t>
  </si>
  <si>
    <t>1,921,122 [356d] [839.0%]</t>
  </si>
  <si>
    <t>-301,058 [15d] [-230.0%]</t>
  </si>
  <si>
    <t>80,348 [21.0%] [profitable:90.0%]</t>
  </si>
  <si>
    <t>4,200,382 [538.0d] [100.0%]</t>
  </si>
  <si>
    <t>-283,273 [2.0d] [-2125.0%]</t>
  </si>
  <si>
    <t>4,186,668 [100.0%] [profitable:99.0%]</t>
  </si>
  <si>
    <t>Y (3,541,294)</t>
  </si>
  <si>
    <t>495,806 [538d] [100%]</t>
  </si>
  <si>
    <t>95,530 [1d] [100%]</t>
  </si>
  <si>
    <t>493,975 [100%] [profitable:100.0%]</t>
  </si>
  <si>
    <t>470,894 [538d] [100%]</t>
  </si>
  <si>
    <t>88,470 [1d] [100%]</t>
  </si>
  <si>
    <t>468,401 [100%] [profitable:100.0%]</t>
  </si>
  <si>
    <t>1,816,360 [535.0d] [100.0%]</t>
  </si>
  <si>
    <t>-45,790 [0.0d] [-1974.0%]</t>
  </si>
  <si>
    <t>1,792,047 [100.0%] [profitable:100.0%]</t>
  </si>
  <si>
    <t>Y (434,769)</t>
  </si>
  <si>
    <t>1,384,220 [538d] [100.0%]</t>
  </si>
  <si>
    <t>-90,350 [1d] [-1726.0%]</t>
  </si>
  <si>
    <t>1,366,028 [100.0%] [profitable:97.0%]</t>
  </si>
  <si>
    <t>Y (1,106,363)</t>
  </si>
  <si>
    <t>208,944 [540.0d] [100%]</t>
  </si>
  <si>
    <t>87,764 [357.0d] [100%]</t>
  </si>
  <si>
    <t>161,322 [100%] [profitable:100.0%]</t>
  </si>
  <si>
    <t>Y (87,580)</t>
  </si>
  <si>
    <t>1,304,064 [288d] [170.0%]</t>
  </si>
  <si>
    <t>-466,737 [17d] [-460.0%]</t>
  </si>
  <si>
    <t>28,411 [100.0%] [profitable:82.0%]</t>
  </si>
  <si>
    <t>340,418 [287d] [100.0%]</t>
  </si>
  <si>
    <t>-509,502 [322d] [-11.0%]</t>
  </si>
  <si>
    <t>-337,989 [-5.0%] [profitable:5.0%]</t>
  </si>
  <si>
    <t>842,113 [433d] [283.0%]</t>
  </si>
  <si>
    <t>-240,244 [45d] [-72.0%]</t>
  </si>
  <si>
    <t>415,259 [70.0%] [profitable:96.0%]</t>
  </si>
  <si>
    <t>Y (55,706)</t>
  </si>
  <si>
    <t>247,531 [465d] [100.0%]</t>
  </si>
  <si>
    <t>-53,361 [6d] [-557.0%]</t>
  </si>
  <si>
    <t>237,803 [100.0%] [profitable:83.0%]</t>
  </si>
  <si>
    <t>222,068 [42d] [100.0%]</t>
  </si>
  <si>
    <t>-156,194 [204d] [-7.0%]</t>
  </si>
  <si>
    <t>-102,737 [-2.0%] [profitable:30.0%]</t>
  </si>
  <si>
    <t>892,067 [468.0d] [100.0%]</t>
  </si>
  <si>
    <t>-257,843 [470.0d] [-7.0%]</t>
  </si>
  <si>
    <t>889,332 [100.0%] [profitable:97.0%]</t>
  </si>
  <si>
    <t>Y (93,464)</t>
  </si>
  <si>
    <t>402,384 [286d] [100.0%]</t>
  </si>
  <si>
    <t>-29,570 [112d] [-12.0%]</t>
  </si>
  <si>
    <t>140,707 [100.0%] [profitable:93.0%]</t>
  </si>
  <si>
    <t>290,552 [456.0d] [100.0%]</t>
  </si>
  <si>
    <t>-31,729 [2.0d] [-2296.0%]</t>
  </si>
  <si>
    <t>269,814 [100.0%] [profitable:99.0%]</t>
  </si>
  <si>
    <t>485,013 [470.0d] [100.0%]</t>
  </si>
  <si>
    <t>-98,830 [6.0d] [-153.0%]</t>
  </si>
  <si>
    <t>485,013 [100.0%] [profitable:95.0%]</t>
  </si>
  <si>
    <t>434,068 [287d] [100.0%]</t>
  </si>
  <si>
    <t>-332,216 [154d] [-14.0%]</t>
  </si>
  <si>
    <t>-146,631 [-2.0%] [profitable:22.0%]</t>
  </si>
  <si>
    <t>513,848 [243d] [100.0%]</t>
  </si>
  <si>
    <t>-73,067 [242d] [-10.0%]</t>
  </si>
  <si>
    <t>13,204 [100.0%] [profitable:83.0%]</t>
  </si>
  <si>
    <t>341,357 [420d] [2204.0%]</t>
  </si>
  <si>
    <t>-89,471 [244d] [-19.0%]</t>
  </si>
  <si>
    <t>325,723 [1188.0%] [profitable:96.0%]</t>
  </si>
  <si>
    <t>Y (174,823)</t>
  </si>
  <si>
    <t>336,208 [419d] [100.0%]</t>
  </si>
  <si>
    <t>14,331 [0d] [2287.0%]</t>
  </si>
  <si>
    <t>327,873 [100.0%] [profitable:100.0%]</t>
  </si>
  <si>
    <t>Y (95,832)</t>
  </si>
  <si>
    <t>768,435 [421d] [100%]</t>
  </si>
  <si>
    <t>114,928 [1d] [100%]</t>
  </si>
  <si>
    <t>752,827 [100%] [profitable:100.0%]</t>
  </si>
  <si>
    <t>Y (2,898)</t>
  </si>
  <si>
    <t>3,108,997 [421.0d] [100.0%]</t>
  </si>
  <si>
    <t>-130,378 [1.0d] [-2818.0%]</t>
  </si>
  <si>
    <t>3,054,718 [100.0%] [profitable:99.0%]</t>
  </si>
  <si>
    <t>Y (1,993,222)</t>
  </si>
  <si>
    <t>500,586 [425d] [100%]</t>
  </si>
  <si>
    <t>115,804 [4d] [100%]</t>
  </si>
  <si>
    <t>500,250 [100%] [profitable:100.0%]</t>
  </si>
  <si>
    <t>3,536,663 [424.0d] [100.0%]</t>
  </si>
  <si>
    <t>-143,454 [4.0d] [-658.0%]</t>
  </si>
  <si>
    <t>3,522,904 [100.0%] [profitable:99.0%]</t>
  </si>
  <si>
    <t>Y (3,701,956)</t>
  </si>
  <si>
    <t>847,123 [426d] [100.0%]</t>
  </si>
  <si>
    <t>-101,697 [265d] [-10.0%]</t>
  </si>
  <si>
    <t>847,123 [100.0%] [profitable:97.0%]</t>
  </si>
  <si>
    <t>Y (1,454,520)</t>
  </si>
  <si>
    <t>408,236 [425d] [100%]</t>
  </si>
  <si>
    <t>113,614 [4d] [100%]</t>
  </si>
  <si>
    <t>408,038 [100%] [profitable:100.0%]</t>
  </si>
  <si>
    <t>462,055 [421d] [100%]</t>
  </si>
  <si>
    <t>104,739 [1d] [100%]</t>
  </si>
  <si>
    <t>453,971 [100%] [profitable:100.0%]</t>
  </si>
  <si>
    <t>449,595 [185d] [100.0%]</t>
  </si>
  <si>
    <t>-27,166 [4d] [-5788.0%]</t>
  </si>
  <si>
    <t>250,412 [100.0%] [profitable:99.0%]</t>
  </si>
  <si>
    <t>330,111 [193d] [100.0%]</t>
  </si>
  <si>
    <t>-27,393 [4d] [-2343.0%]</t>
  </si>
  <si>
    <t>133,674 [100.0%] [profitable:98.0%]</t>
  </si>
  <si>
    <t>313,019 [188d] [100.0%]</t>
  </si>
  <si>
    <t>-193,574 [18d] [-2056.0%]</t>
  </si>
  <si>
    <t>126,438 [100.0%] [profitable:55.0%]</t>
  </si>
  <si>
    <t>719,468 [213d] [100.0%]</t>
  </si>
  <si>
    <t>-242,640 [60d] [-1231.0%]</t>
  </si>
  <si>
    <t>528,234 [100.0%] [profitable:84.0%]</t>
  </si>
  <si>
    <t>678,104 [167d] [217.0%]</t>
  </si>
  <si>
    <t>-317,546 [189d] [-43.0%]</t>
  </si>
  <si>
    <t>370,487 [100.0%] [profitable:96.0%]</t>
  </si>
  <si>
    <t>683,832 [188d] [100.0%]</t>
  </si>
  <si>
    <t>-216,522 [67d] [-5452.0%]</t>
  </si>
  <si>
    <t>260,446 [100.0%] [profitable:74.0%]</t>
  </si>
  <si>
    <t>670,129 [138d] [100.0%]</t>
  </si>
  <si>
    <t>-83,541 [5d] [-115.0%]</t>
  </si>
  <si>
    <t>-6,574 [-0.0%] [profitable:91.0%]</t>
  </si>
  <si>
    <t>775,108 [158d] [100.0%]</t>
  </si>
  <si>
    <t>-166,743 [5d] [-4161.0%]</t>
  </si>
  <si>
    <t>573,056 [100.0%] [profitable:95.0%]</t>
  </si>
  <si>
    <t>677,742 [151d] [100.0%]</t>
  </si>
  <si>
    <t>-397,388 [137d] [-180.0%]</t>
  </si>
  <si>
    <t>404,219 [100.0%] [profitable:95.0%]</t>
  </si>
  <si>
    <t>914,053 [138d] [100.0%]</t>
  </si>
  <si>
    <t>-129,741 [139d] [-7.0%]</t>
  </si>
  <si>
    <t>62,538 [100.0%] [profitable:88.0%]</t>
  </si>
  <si>
    <t>772,358 [133d] [100.0%]</t>
  </si>
  <si>
    <t>-129,303 [12d] [-8304.0%]</t>
  </si>
  <si>
    <t>316,188 [100.0%] [profitable:93.0%]</t>
  </si>
  <si>
    <t>135,685 [307.0d] [100.0%]</t>
  </si>
  <si>
    <t>-78,495 [321.0d] [-233.0%]</t>
  </si>
  <si>
    <t>124,166 [100.0%] [profitable:81.0%]</t>
  </si>
  <si>
    <t>Y (31,123)</t>
  </si>
  <si>
    <t>107,012 [307.0d] [100.0%]</t>
  </si>
  <si>
    <t>-75,969 [139.0d] [-182.0%]</t>
  </si>
  <si>
    <t>93,930 [100.0%] [profitable:86.0%]</t>
  </si>
  <si>
    <t>Y (22,054)</t>
  </si>
  <si>
    <t>233,613 [315.0d] [100.0%]</t>
  </si>
  <si>
    <t>-46,883 [5.0d] [-197.0%]</t>
  </si>
  <si>
    <t>226,337 [100.0%] [profitable:85.0%]</t>
  </si>
  <si>
    <t>193,496 [315.0d] [100.0%]</t>
  </si>
  <si>
    <t>-40,403 [5.0d] [-157.0%]</t>
  </si>
  <si>
    <t>186,572 [100.0%] [profitable:93.0%]</t>
  </si>
  <si>
    <t>1,012,212 [138d] [100.0%]</t>
  </si>
  <si>
    <t>-138,655 [225d] [-4.0%]</t>
  </si>
  <si>
    <t>-33,941 [-1.0%] [profitable:68.0%]</t>
  </si>
  <si>
    <t>285,423 [44d] [100.0%]</t>
  </si>
  <si>
    <t>-306,572 [83d] [-29.0%]</t>
  </si>
  <si>
    <t>-146,675 [-5.0%] [profitable:10.0%]</t>
  </si>
  <si>
    <t>168,542 [97d] [66.0%]</t>
  </si>
  <si>
    <t>-1,011,923 [47d] [-356.0%]</t>
  </si>
  <si>
    <t>-45,204 [-36.0%] [profitable:63.0%]</t>
  </si>
  <si>
    <t>273,230 [231.0d] [100.0%]</t>
  </si>
  <si>
    <t>-46,891 [49.0d] [-218.0%]</t>
  </si>
  <si>
    <t>31,752 [100.0%] [profitable:93.0%]</t>
  </si>
  <si>
    <t>347,712 [231.0d] [100.0%]</t>
  </si>
  <si>
    <t>-71,318 [135.0d] [-1446.0%]</t>
  </si>
  <si>
    <t>-35,682 [-89.0%] [profitable:45.0%]</t>
  </si>
  <si>
    <t>199,255 [1d] [100.0%]</t>
  </si>
  <si>
    <t>-390,867 [2d] [-1640.0%]</t>
  </si>
  <si>
    <t>119,116 [100.0%] [profitable:97.0%]</t>
  </si>
  <si>
    <t>Y (290,306)</t>
  </si>
  <si>
    <t>419,343 [179d] [272.0%]</t>
  </si>
  <si>
    <t>-71,869 [2d] [-651.0%]</t>
  </si>
  <si>
    <t>411,599 [244.0%] [profitable:96.0%]</t>
  </si>
  <si>
    <t>Y (197,936)</t>
  </si>
  <si>
    <t>490,994 [182d] [83.0%]</t>
  </si>
  <si>
    <t>-73,465 [2d] [-465.0%]</t>
  </si>
  <si>
    <t>476,914 [79.0%] [profitable:97.0%]</t>
  </si>
  <si>
    <t>Y (152,919)</t>
  </si>
  <si>
    <t>580,541 [179d] [314.0%]</t>
  </si>
  <si>
    <t>-136,903 [2d] [-1820.0%]</t>
  </si>
  <si>
    <t>566,932 [293.0%] [profitable:97.0%]</t>
  </si>
  <si>
    <t>Y (516,205)</t>
  </si>
  <si>
    <t>226,534 [2d] [100.0%]</t>
  </si>
  <si>
    <t>-166,575 [1d] [-46269.0%]</t>
  </si>
  <si>
    <t>65,503 [100.0%] [profitable:77.0%]</t>
  </si>
  <si>
    <t>836,761 [182d] [100.0%]</t>
  </si>
  <si>
    <t>-102,818 [2d] [-18918.0%]</t>
  </si>
  <si>
    <t>825,323 [100.0%] [profitable:98.0%]</t>
  </si>
  <si>
    <t>Y (198,648)</t>
  </si>
  <si>
    <t>214,187 [184.0d] [100.0%]</t>
  </si>
  <si>
    <t>-163,194 [184.0d] [-30.0%]</t>
  </si>
  <si>
    <t>214,187 [100.0%] [profitable:91.0%]</t>
  </si>
  <si>
    <t>Y (69,226)</t>
  </si>
  <si>
    <t>445,900 [2d] [16278.0%]</t>
  </si>
  <si>
    <t>-150,725 [1d] [-5939.0%]</t>
  </si>
  <si>
    <t>396,219 [100.0%] [profitable:98.0%]</t>
  </si>
  <si>
    <t>Y (58,294)</t>
  </si>
  <si>
    <t>134,316 [168d] [100.0%]</t>
  </si>
  <si>
    <t>-87,555 [2d] [-457.0%]</t>
  </si>
  <si>
    <t>118,349 [100.0%] [profitable:97.0%]</t>
  </si>
  <si>
    <t>Y (932,202)</t>
  </si>
  <si>
    <t>625,724 [182d] [100.0%]</t>
  </si>
  <si>
    <t>-124,428 [2d] [-5540.0%]</t>
  </si>
  <si>
    <t>614,724 [100.0%] [profitable:96.0%]</t>
  </si>
  <si>
    <t>Y (124,763)</t>
  </si>
  <si>
    <t>-42,895 [35d] [-10.0%]</t>
  </si>
  <si>
    <t>-574,990 [432d] [-12.0%]</t>
  </si>
  <si>
    <t>-398,397 [-6.0%] [profitable:0.0%]</t>
  </si>
  <si>
    <t>179,394 [431d] [100.0%]</t>
  </si>
  <si>
    <t>-342,659 [299d] [-8.0%]</t>
  </si>
  <si>
    <t>-201,904 [-2.0%] [profitable:2.0%]</t>
  </si>
  <si>
    <t>-3,574 [35d] [-1.0%]</t>
  </si>
  <si>
    <t>-547,214 [432d] [-11.0%]</t>
  </si>
  <si>
    <t>-313,967 [-4.0%] [profitable:0.0%]</t>
  </si>
  <si>
    <t>-4,516 [4d] [-9.0%]</t>
  </si>
  <si>
    <t>-541,446 [432d] [-10.0%]</t>
  </si>
  <si>
    <t>-463,381 [-6.0%] [profitable:0.0%]</t>
  </si>
  <si>
    <t>4,935 [4d] [442.0%]</t>
  </si>
  <si>
    <t>-227,933 [432d] [-197.0%]</t>
  </si>
  <si>
    <t>-172,882 [-58.0%] [profitable:0.0%]</t>
  </si>
  <si>
    <t>787,420 [432d] [130.0%]</t>
  </si>
  <si>
    <t>-728,545 [88d] [-131.0%]</t>
  </si>
  <si>
    <t>-169,933 [-38.0%] [profitable:41.0%]</t>
  </si>
  <si>
    <t>595,506 [188d] [100.0%]</t>
  </si>
  <si>
    <t>-776,150 [577d] [-23.0%]</t>
  </si>
  <si>
    <t>-335,663 [-11.0%] [profitable:44.0%]</t>
  </si>
  <si>
    <t>1,007,028 [348d] [100.0%]</t>
  </si>
  <si>
    <t>-86,840 [11d] [-214.0%]</t>
  </si>
  <si>
    <t>955,378 [100.0%] [profitable:94.0%]</t>
  </si>
  <si>
    <t>Y (425,825)</t>
  </si>
  <si>
    <t>38,462 [405d] [65.0%]</t>
  </si>
  <si>
    <t>-170,681 [136d] [-139.0%]</t>
  </si>
  <si>
    <t>-1,767 [-1.0%] [profitable:19.0%]</t>
  </si>
  <si>
    <t>1,014,132 [321d] [100.0%]</t>
  </si>
  <si>
    <t>-83,186 [14d] [-255.0%]</t>
  </si>
  <si>
    <t>810,161 [100.0%] [profitable:94.0%]</t>
  </si>
  <si>
    <t>Y (35,103)</t>
  </si>
  <si>
    <t>2,122,677 [383d] [318.0%]</t>
  </si>
  <si>
    <t>-175,980 [55d] [-56.0%]</t>
  </si>
  <si>
    <t>891,621 [100.0%] [profitable:91.0%]</t>
  </si>
  <si>
    <t>675,223 [559.0d] [100.0%]</t>
  </si>
  <si>
    <t>-154,193 [84.0d] [-17.0%]</t>
  </si>
  <si>
    <t>652,925 [100.0%] [profitable:84.0%]</t>
  </si>
  <si>
    <t>1,202,280 [356d] [392.0%]</t>
  </si>
  <si>
    <t>-394,787 [378d] [-25.0%]</t>
  </si>
  <si>
    <t>688,215 [100.0%] [profitable:98.0%]</t>
  </si>
  <si>
    <t>533,888 [559d] [1903.0%]</t>
  </si>
  <si>
    <t>-96,590 [87d] [-31.0%]</t>
  </si>
  <si>
    <t>508,774 [875.0%] [profitable:90.0%]</t>
  </si>
  <si>
    <t>Y (136,765)</t>
  </si>
  <si>
    <t>635,346 [559.0d] [100.0%]</t>
  </si>
  <si>
    <t>-120,780 [91.0d] [-13.0%]</t>
  </si>
  <si>
    <t>609,510 [100.0%] [profitable:79.0%]</t>
  </si>
  <si>
    <t>426,829 [382d] [678.0%]</t>
  </si>
  <si>
    <t>-139,826 [84d] [-90.0%]</t>
  </si>
  <si>
    <t>95,711 [100.0%] [profitable:71.0%]</t>
  </si>
  <si>
    <t>Y (24,051)</t>
  </si>
  <si>
    <t>2,502,603 [382d] [100.0%]</t>
  </si>
  <si>
    <t>-813,256 [417d] [-801.0%]</t>
  </si>
  <si>
    <t>493,180 [100.0%] [profitable:81.0%]</t>
  </si>
  <si>
    <t>324,376 [560d] [100.0%]</t>
  </si>
  <si>
    <t>-67,679 [4d] [-1051.0%]</t>
  </si>
  <si>
    <t>314,581 [100.0%] [profitable:96.0%]</t>
  </si>
  <si>
    <t>674,848 [528d] [100.0%]</t>
  </si>
  <si>
    <t>-100,575 [84d] [-45.0%]</t>
  </si>
  <si>
    <t>624,526 [100.0%] [profitable:90.0%]</t>
  </si>
  <si>
    <t>Y (183,086)</t>
  </si>
  <si>
    <t>207,162 [551.0d] [100.0%]</t>
  </si>
  <si>
    <t>-64,830 [87.0d] [-246.0%]</t>
  </si>
  <si>
    <t>186,760 [100.0%] [profitable:87.0%]</t>
  </si>
  <si>
    <t>1,976,886 [353d] [689.0%]</t>
  </si>
  <si>
    <t>-238,080 [12d] [-225.0%]</t>
  </si>
  <si>
    <t>132,382 [93.0%] [profitable:92.0%]</t>
  </si>
  <si>
    <t>Y (735,986)</t>
  </si>
  <si>
    <t>4,291,918 [535.0d] [100.0%]</t>
  </si>
  <si>
    <t>-120,345 [0.0d] [-1943.0%]</t>
  </si>
  <si>
    <t>4,278,276 [100.0%] [profitable:99.0%]</t>
  </si>
  <si>
    <t>Y (3,544,068)</t>
  </si>
  <si>
    <t>1,850,873 [531.0d] [100.0%]</t>
  </si>
  <si>
    <t>-291,758 [56.0d] [-420.0%]</t>
  </si>
  <si>
    <t>1,813,789 [100.0%] [profitable:96.0%]</t>
  </si>
  <si>
    <t>Y (809,522)</t>
  </si>
  <si>
    <t>1,375,383 [535d] [100.0%]</t>
  </si>
  <si>
    <t>-79,461 [56d] [-24.0%]</t>
  </si>
  <si>
    <t>1,357,166 [100.0%] [profitable:97.0%]</t>
  </si>
  <si>
    <t>Y (1,112,920)</t>
  </si>
  <si>
    <t>1,860,539 [531.0d] [100.0%]</t>
  </si>
  <si>
    <t>-267,291 [56.0d] [-121.0%]</t>
  </si>
  <si>
    <t>1,807,068 [100.0%] [profitable:96.0%]</t>
  </si>
  <si>
    <t>Y (1,155,993)</t>
  </si>
  <si>
    <t>3,824,488 [532.0d] [100.0%]</t>
  </si>
  <si>
    <t>-81,555 [0.0d] [-1703.0%]</t>
  </si>
  <si>
    <t>3,770,185 [100.0%] [profitable:100.0%]</t>
  </si>
  <si>
    <t>Y (1,820,754)</t>
  </si>
  <si>
    <t>1,456,175 [355d] [313.0%]</t>
  </si>
  <si>
    <t>-306,062 [84d] [-78.0%]</t>
  </si>
  <si>
    <t>162,108 [100.0%] [profitable:82.0%]</t>
  </si>
  <si>
    <t>419,581 [354d] [100.0%]</t>
  </si>
  <si>
    <t>-176,196 [73d] [-24.0%]</t>
  </si>
  <si>
    <t>151,008 [100.0%] [profitable:73.0%]</t>
  </si>
  <si>
    <t>Y (533,113)</t>
  </si>
  <si>
    <t>182,896 [530d] [100.0%]</t>
  </si>
  <si>
    <t>-46,799 [59d] [-179.0%]</t>
  </si>
  <si>
    <t>170,331 [100.0%] [profitable:85.0%]</t>
  </si>
  <si>
    <t>Y (212,776)</t>
  </si>
  <si>
    <t>1,303,753 [353d] [834.0%]</t>
  </si>
  <si>
    <t>-160,651 [12d] [-236.0%]</t>
  </si>
  <si>
    <t>353,216 [315.0%] [profitable:98.0%]</t>
  </si>
  <si>
    <t>Y (970,219)</t>
  </si>
  <si>
    <t>830,566 [309d] [127.0%]</t>
  </si>
  <si>
    <t>-21,725 [0d] [-654.0%]</t>
  </si>
  <si>
    <t>276,432 [100.0%] [profitable:99.0%]</t>
  </si>
  <si>
    <t>270,396 [133d] [87.0%]</t>
  </si>
  <si>
    <t>-204,859 [309d] [-25.0%]</t>
  </si>
  <si>
    <t>216,096 [81.0%] [profitable:98.0%]</t>
  </si>
  <si>
    <t>231,806 [477.0d] [100.0%]</t>
  </si>
  <si>
    <t>-92,819 [13.0d] [-1018.0%]</t>
  </si>
  <si>
    <t>211,225 [100.0%] [profitable:90.0%]</t>
  </si>
  <si>
    <t>498,873 [491.0d] [100.0%]</t>
  </si>
  <si>
    <t>-92,681 [27.0d] [-33.0%]</t>
  </si>
  <si>
    <t>498,873 [100.0%] [profitable:93.0%]</t>
  </si>
  <si>
    <t>452,628 [308d] [100.0%]</t>
  </si>
  <si>
    <t>-149,138 [27d] [-56.0%]</t>
  </si>
  <si>
    <t>186,813 [100.0%] [profitable:87.0%]</t>
  </si>
  <si>
    <t>Y (563,752)</t>
  </si>
  <si>
    <t>198,076 [489.0d] [100.0%]</t>
  </si>
  <si>
    <t>-185,696 [491.0d] [-37.0%]</t>
  </si>
  <si>
    <t>195,938 [100.0%] [profitable:81.0%]</t>
  </si>
  <si>
    <t>Y (203,999)</t>
  </si>
  <si>
    <t>252,646 [308.0d] [33.0%]</t>
  </si>
  <si>
    <t>-238,159 [491.0d] [-20.0%]</t>
  </si>
  <si>
    <t>186,895 [95.0%] [profitable:68.0%]</t>
  </si>
  <si>
    <t>221,315 [309d] [97.0%]</t>
  </si>
  <si>
    <t>-177,328 [90d] [-115.0%]</t>
  </si>
  <si>
    <t>90,909 [100.0%] [profitable:61.0%]</t>
  </si>
  <si>
    <t>Y (443,320)</t>
  </si>
  <si>
    <t>789,458 [491.0d] [100.0%]</t>
  </si>
  <si>
    <t>-115,878 [27.0d] [-43.0%]</t>
  </si>
  <si>
    <t>789,458 [100.0%] [profitable:94.0%]</t>
  </si>
  <si>
    <t>680,788 [491d] [100.0%]</t>
  </si>
  <si>
    <t>-98,418 [90d] [-49.0%]</t>
  </si>
  <si>
    <t>680,788 [100.0%] [profitable:87.0%]</t>
  </si>
  <si>
    <t>Y (250,365)</t>
  </si>
  <si>
    <t>1,570,739 [321d] [167.0%]</t>
  </si>
  <si>
    <t>-321,077 [286d] [-16.0%]</t>
  </si>
  <si>
    <t>578,423 [113.0%] [profitable:98.0%]</t>
  </si>
  <si>
    <t>1,045,044 [287d] [100.0%]</t>
  </si>
  <si>
    <t>-194,536 [7d] [-1794.0%]</t>
  </si>
  <si>
    <t>422,555 [100.0%] [profitable:98.0%]</t>
  </si>
  <si>
    <t>875,365 [299d] [100.0%]</t>
  </si>
  <si>
    <t>-86,857 [1d] [-5489.0%]</t>
  </si>
  <si>
    <t>635,035 [100.0%] [profitable:99.0%]</t>
  </si>
  <si>
    <t>1,256,314 [467d] [100.0%]</t>
  </si>
  <si>
    <t>-148,639 [5d] [-514.0%]</t>
  </si>
  <si>
    <t>1,238,139 [100.0%] [profitable:98.0%]</t>
  </si>
  <si>
    <t>Y (1,104,607)</t>
  </si>
  <si>
    <t>251,543 [464d] [100.0%]</t>
  </si>
  <si>
    <t>-51,969 [5d] [-644.0%]</t>
  </si>
  <si>
    <t>241,842 [100.0%] [profitable:84.0%]</t>
  </si>
  <si>
    <t>159,098 [469.0d] [100.0%]</t>
  </si>
  <si>
    <t>-42,948 [287.0d] [-14.0%]</t>
  </si>
  <si>
    <t>27,485 [100.0%] [profitable:63.0%]</t>
  </si>
  <si>
    <t>968,872 [464d] [100.0%]</t>
  </si>
  <si>
    <t>-244,848 [287d] [-13.0%]</t>
  </si>
  <si>
    <t>954,912 [100.0%] [profitable:96.0%]</t>
  </si>
  <si>
    <t>Y (1,417,296)</t>
  </si>
  <si>
    <t>337,226 [462d] [318.0%]</t>
  </si>
  <si>
    <t>-48,980 [1d] [-1919.0%]</t>
  </si>
  <si>
    <t>313,934 [242.0%] [profitable:97.0%]</t>
  </si>
  <si>
    <t>236,507 [41d] [100.0%]</t>
  </si>
  <si>
    <t>-140,727 [203d] [-6.0%]</t>
  </si>
  <si>
    <t>-88,288 [-2.0%] [profitable:38.0%]</t>
  </si>
  <si>
    <t>847,216 [282d] [110.0%]</t>
  </si>
  <si>
    <t>-421,804 [40d] [-137.0%]</t>
  </si>
  <si>
    <t>506,425 [368.0%] [profitable:98.0%]</t>
  </si>
  <si>
    <t>Y (958,570)</t>
  </si>
  <si>
    <t>1,109,081 [233d] [230.0%]</t>
  </si>
  <si>
    <t>-487,218 [255d] [-36.0%]</t>
  </si>
  <si>
    <t>593,150 [100.0%] [profitable:95.0%]</t>
  </si>
  <si>
    <t>432,611 [259d] [100.0%]</t>
  </si>
  <si>
    <t>-419,546 [294d] [-10.0%]</t>
  </si>
  <si>
    <t>-251,719 [-4.0%] [profitable:20.0%]</t>
  </si>
  <si>
    <t>792,854 [436.0d] [100.0%]</t>
  </si>
  <si>
    <t>-11,552 [0.0d] [-113.0%]</t>
  </si>
  <si>
    <t>767,289 [100.0%] [profitable:99.0%]</t>
  </si>
  <si>
    <t>287,172 [428.0d] [171.0%]</t>
  </si>
  <si>
    <t>-195,895 [442.0d] [-18.0%]</t>
  </si>
  <si>
    <t>254,210 [156.0%] [profitable:93.0%]</t>
  </si>
  <si>
    <t>Y (7,327)</t>
  </si>
  <si>
    <t>571,296 [294d] [564.0%]</t>
  </si>
  <si>
    <t>-82,530 [16d] [-134.0%]</t>
  </si>
  <si>
    <t>356,030 [100.0%] [profitable:97.0%]</t>
  </si>
  <si>
    <t>93,087 [429d] [100.0%]</t>
  </si>
  <si>
    <t>-70,832 [41d] [-257.0%]</t>
  </si>
  <si>
    <t>89,193 [100.0%] [profitable:89.0%]</t>
  </si>
  <si>
    <t>Y (285,459)</t>
  </si>
  <si>
    <t>226,452 [15d] [100.0%]</t>
  </si>
  <si>
    <t>-112,593 [41d] [-28.0%]</t>
  </si>
  <si>
    <t>119,431 [100.0%] [profitable:87.0%]</t>
  </si>
  <si>
    <t>Y (379,589)</t>
  </si>
  <si>
    <t>1,354,131 [436d] [100.0%]</t>
  </si>
  <si>
    <t>-196,812 [17d] [-163.0%]</t>
  </si>
  <si>
    <t>1,269,450 [100.0%] [profitable:95.0%]</t>
  </si>
  <si>
    <t>Y (440,840)</t>
  </si>
  <si>
    <t>322,051 [436.0d] [100.0%]</t>
  </si>
  <si>
    <t>-213,516 [442.0d] [-28.0%]</t>
  </si>
  <si>
    <t>304,009 [100.0%] [profitable:96.0%]</t>
  </si>
  <si>
    <t>Y (220,965)</t>
  </si>
  <si>
    <t>1,204,861 [233d] [531.0%]</t>
  </si>
  <si>
    <t>-23,779 [41d] [-10.0%]</t>
  </si>
  <si>
    <t>1,053,147 [100.0%] [profitable:99.0%]</t>
  </si>
  <si>
    <t>Y (494,080)</t>
  </si>
  <si>
    <t>17,938 [16d] [100.0%]</t>
  </si>
  <si>
    <t>-359,204 [245d] [-14.0%]</t>
  </si>
  <si>
    <t>-118,702 [-3.0%] [profitable:2.0%]</t>
  </si>
  <si>
    <t>506,100 [244d] [100.0%]</t>
  </si>
  <si>
    <t>-80,689 [243d] [-11.0%]</t>
  </si>
  <si>
    <t>5,678 [100.0%] [profitable:80.0%]</t>
  </si>
  <si>
    <t>420,412 [427.0d] [100.0%]</t>
  </si>
  <si>
    <t>-87,175 [244.0d] [-214.0%]</t>
  </si>
  <si>
    <t>194,561 [100.0%] [profitable:99.0%]</t>
  </si>
  <si>
    <t>Y (84,588)</t>
  </si>
  <si>
    <t>490,999 [427.0d] [100.0%]</t>
  </si>
  <si>
    <t>44,987 [0.0d] [2113.0%]</t>
  </si>
  <si>
    <t>368,682 [100.0%] [profitable:100.0%]</t>
  </si>
  <si>
    <t>Y (181,024)</t>
  </si>
  <si>
    <t>320,726 [422d] [100.0%]</t>
  </si>
  <si>
    <t>5,656 [245d] [100.0%]</t>
  </si>
  <si>
    <t>311,795 [100.0%] [profitable:100.0%]</t>
  </si>
  <si>
    <t>Y (96,500)</t>
  </si>
  <si>
    <t>383,068 [427.0d] [100.0%]</t>
  </si>
  <si>
    <t>-92,561 [245.0d] [-4.0%]</t>
  </si>
  <si>
    <t>383,068 [100.0%] [profitable:96.0%]</t>
  </si>
  <si>
    <t>921,102 [245d] [100.0%]</t>
  </si>
  <si>
    <t>-50,598 [0d] [-675.0%]</t>
  </si>
  <si>
    <t>836,180 [100.0%] [profitable:99.0%]</t>
  </si>
  <si>
    <t>Y (1,275,574)</t>
  </si>
  <si>
    <t>364,014 [404d] [100%]</t>
  </si>
  <si>
    <t>36,043 [0d] [100%]</t>
  </si>
  <si>
    <t>348,277 [100%] [profitable:100.0%]</t>
  </si>
  <si>
    <t>Y (232,539)</t>
  </si>
  <si>
    <t>226,179 [427.0d] [657.0%]</t>
  </si>
  <si>
    <t>50,502 [244.0d] [51.0%]</t>
  </si>
  <si>
    <t>169,365 [214.0%] [profitable:100.0%]</t>
  </si>
  <si>
    <t>Y (120,771)</t>
  </si>
  <si>
    <t>348,043 [420d] [100.0%]</t>
  </si>
  <si>
    <t>28,257 [1d] [4333.0%]</t>
  </si>
  <si>
    <t>339,737 [100.0%] [profitable:100.0%]</t>
  </si>
  <si>
    <t>Y (98,190)</t>
  </si>
  <si>
    <t>423,203 [186d] [100.0%]</t>
  </si>
  <si>
    <t>-53,126 [5d] [-5857.0%]</t>
  </si>
  <si>
    <t>223,668 [100.0%] [profitable:98.0%]</t>
  </si>
  <si>
    <t>340,790 [194d] [100.0%]</t>
  </si>
  <si>
    <t>-16,653 [5d] [-1057.0%]</t>
  </si>
  <si>
    <t>144,635 [100.0%] [profitable:98.0%]</t>
  </si>
  <si>
    <t>552,365 [168d] [182.0%]</t>
  </si>
  <si>
    <t>-462,589 [190d] [-63.0%]</t>
  </si>
  <si>
    <t>51,747 [100.0%] [profitable:96.0%]</t>
  </si>
  <si>
    <t>787,142 [229d] [80.0%]</t>
  </si>
  <si>
    <t>-952,372 [194d] [-57.0%]</t>
  </si>
  <si>
    <t>453,256 [77.0%] [profitable:98.0%]</t>
  </si>
  <si>
    <t>Y (1,039,267)</t>
  </si>
  <si>
    <t>360,823 [68d] [126.0%]</t>
  </si>
  <si>
    <t>-646,081 [194d] [-43.0%]</t>
  </si>
  <si>
    <t>191,344 [83.0%] [profitable:62.0%]</t>
  </si>
  <si>
    <t>Y (1,450,928)</t>
  </si>
  <si>
    <t>1,118,592 [61d] [337.0%]</t>
  </si>
  <si>
    <t>-1,559,007 [193d] [-81.0%]</t>
  </si>
  <si>
    <t>634,133 [100.0%] [profitable:93.0%]</t>
  </si>
  <si>
    <t>Y (1,712,200)</t>
  </si>
  <si>
    <t>683,881 [377.0d] [100.0%]</t>
  </si>
  <si>
    <t>-43,807 [0.0d] [-438.0%]</t>
  </si>
  <si>
    <t>683,881 [100.0%] [profitable:100.0%]</t>
  </si>
  <si>
    <t>232,433 [375.0d] [100.0%]</t>
  </si>
  <si>
    <t>-89,964 [377.0d] [-46.0%]</t>
  </si>
  <si>
    <t>230,458 [100.0%] [profitable:99.0%]</t>
  </si>
  <si>
    <t>Y (246,478)</t>
  </si>
  <si>
    <t>434,382 [377d] [100.0%]</t>
  </si>
  <si>
    <t>3,847 [0d] [283.0%]</t>
  </si>
  <si>
    <t>434,382 [100.0%] [profitable:100.0%]</t>
  </si>
  <si>
    <t>Y (241,126)</t>
  </si>
  <si>
    <t>1,096,040 [228d] [66.0%]</t>
  </si>
  <si>
    <t>-1,183,426 [194d] [-45.0%]</t>
  </si>
  <si>
    <t>575,878 [65.0%] [profitable:97.0%]</t>
  </si>
  <si>
    <t>Y (905,631)</t>
  </si>
  <si>
    <t>894,088 [132d] [100.0%]</t>
  </si>
  <si>
    <t>-29,396 [0d] [-1410.0%]</t>
  </si>
  <si>
    <t>578,067 [100.0%] [profitable:99.0%]</t>
  </si>
  <si>
    <t>952,663 [132d] [100.0%]</t>
  </si>
  <si>
    <t>-91,747 [133d] [-5.0%]</t>
  </si>
  <si>
    <t>104,381 [100.0%] [profitable:97.0%]</t>
  </si>
  <si>
    <t>238,076 [132d] [100.0%]</t>
  </si>
  <si>
    <t>-166,332 [167d] [-15.0%]</t>
  </si>
  <si>
    <t>-91,588 [-4.0%] [profitable:22.0%]</t>
  </si>
  <si>
    <t>708,201 [315.0d] [100.0%]</t>
  </si>
  <si>
    <t>-44,801 [0.0d] [-2978.0%]</t>
  </si>
  <si>
    <t>158,041 [100.0%] [profitable:97.0%]</t>
  </si>
  <si>
    <t>Y (56,019)</t>
  </si>
  <si>
    <t>771,383 [315.0d] [1096.0%]</t>
  </si>
  <si>
    <t>-59,664 [133.0d] [-18.0%]</t>
  </si>
  <si>
    <t>221,223 [314.0%] [profitable:97.0%]</t>
  </si>
  <si>
    <t>Y (31,868)</t>
  </si>
  <si>
    <t>546,024 [132d] [140.0%]</t>
  </si>
  <si>
    <t>-63,668 [6d] [-355.0%]</t>
  </si>
  <si>
    <t>193,073 [84.0%] [profitable:96.0%]</t>
  </si>
  <si>
    <t>Y (46,140)</t>
  </si>
  <si>
    <t>87,898 [309d] [100.0%]</t>
  </si>
  <si>
    <t>-136,612 [133d] [-29.0%]</t>
  </si>
  <si>
    <t>72,538 [100.0%] [profitable:94.0%]</t>
  </si>
  <si>
    <t>Y (201,101)</t>
  </si>
  <si>
    <t>504,136 [132d] [93.0%]</t>
  </si>
  <si>
    <t>-72,877 [133d] [-12.0%]</t>
  </si>
  <si>
    <t>309,491 [81.0%] [profitable:96.0%]</t>
  </si>
  <si>
    <t>241,953 [315.0d] [100.0%]</t>
  </si>
  <si>
    <t>-30,296 [133.0d] [-27.0%]</t>
  </si>
  <si>
    <t>338 [100.0%] [profitable:85.0%]</t>
  </si>
  <si>
    <t>245,578 [132d] [100.0%]</t>
  </si>
  <si>
    <t>-164,428 [133d] [-25.0%]</t>
  </si>
  <si>
    <t>108,407 [100.0%] [profitable:98.0%]</t>
  </si>
  <si>
    <t>Y (242,232)</t>
  </si>
  <si>
    <t>271,628 [118d] [100.0%]</t>
  </si>
  <si>
    <t>-133,357 [153d] [-14.0%]</t>
  </si>
  <si>
    <t>-59,479 [-3.0%] [profitable:48.0%]</t>
  </si>
  <si>
    <t>213,223 [295.0d] [100.0%]</t>
  </si>
  <si>
    <t>-42,144 [33.0d] [-27.0%]</t>
  </si>
  <si>
    <t>205,790 [100.0%] [profitable:86.0%]</t>
  </si>
  <si>
    <t>116,350 [118.0d] [119.0%]</t>
  </si>
  <si>
    <t>-126,050 [301.0d] [-51.0%]</t>
  </si>
  <si>
    <t>76,611 [100.0%] [profitable:77.0%]</t>
  </si>
  <si>
    <t>Y (27,930)</t>
  </si>
  <si>
    <t>280,293 [301.0d] [100.0%]</t>
  </si>
  <si>
    <t>-48,648 [119.0d] [-121.0%]</t>
  </si>
  <si>
    <t>38,752 [100.0%] [profitable:82.0%]</t>
  </si>
  <si>
    <t>253,325 [295.0d] [100.0%]</t>
  </si>
  <si>
    <t>-85,351 [119.0d] [-21.0%]</t>
  </si>
  <si>
    <t>242,260 [100.0%] [profitable:90.0%]</t>
  </si>
  <si>
    <t>145,968 [118.0d] [100.0%]</t>
  </si>
  <si>
    <t>-34,660 [0.0d] [-815.0%]</t>
  </si>
  <si>
    <t>75,566 [100.0%] [profitable:80.0%]</t>
  </si>
  <si>
    <t>640,062 [113d] [76.0%]</t>
  </si>
  <si>
    <t>-42,178 [5d] [-106.0%]</t>
  </si>
  <si>
    <t>310,565 [81.0%] [profitable:97.0%]</t>
  </si>
  <si>
    <t>Y (801,870)</t>
  </si>
  <si>
    <t>188,538 [295.0d] [669.0%]</t>
  </si>
  <si>
    <t>-160,145 [301.0d] [-48.0%]</t>
  </si>
  <si>
    <t>173,426 [423.0%] [profitable:84.0%]</t>
  </si>
  <si>
    <t>Y (197,252)</t>
  </si>
  <si>
    <t>1,458,290 [68d] [266.0%]</t>
  </si>
  <si>
    <t>-1,048,704 [101d] [-126.0%]</t>
  </si>
  <si>
    <t>-414,081 [-86.0%] [profitable:7.0%]</t>
  </si>
  <si>
    <t>54,609 [4d] [361.0%]</t>
  </si>
  <si>
    <t>-1,827,859 [66d] [-339.0%]</t>
  </si>
  <si>
    <t>-521,130 [-2448.0%] [profitable:4.0%]</t>
  </si>
  <si>
    <t>25,278 [5d] [180.0%]</t>
  </si>
  <si>
    <t>-498,728 [67d] [-125.0%]</t>
  </si>
  <si>
    <t>-208,773 [-199.0%] [profitable:4.0%]</t>
  </si>
  <si>
    <t>318,257 [67d] [100.0%]</t>
  </si>
  <si>
    <t>-9,667 [0d] [-957.0%]</t>
  </si>
  <si>
    <t>39,955 [100.0%] [profitable:99.0%]</t>
  </si>
  <si>
    <t>385,667 [68d] [224.0%]</t>
  </si>
  <si>
    <t>-518,425 [101d] [-195.0%]</t>
  </si>
  <si>
    <t>-183,515 [-142.0%] [profitable:7.0%]</t>
  </si>
  <si>
    <t>274,841 [250.0d] [100.0%]</t>
  </si>
  <si>
    <t>-41,998 [68.0d] [-139.0%]</t>
  </si>
  <si>
    <t>33,300 [100.0%] [profitable:88.0%]</t>
  </si>
  <si>
    <t>83,818 [244d] [1051.0%]</t>
  </si>
  <si>
    <t>-185,372 [68d] [-211.0%]</t>
  </si>
  <si>
    <t>67,876 [380.0%] [profitable:81.0%]</t>
  </si>
  <si>
    <t>Y (241,312)</t>
  </si>
  <si>
    <t>368,038 [250.0d] [100.0%]</t>
  </si>
  <si>
    <t>-35,849 [5.0d] [-1340.0%]</t>
  </si>
  <si>
    <t>26,327 [100.0%] [profitable:81.0%]</t>
  </si>
  <si>
    <t>202,995 [128d] [45.0%]</t>
  </si>
  <si>
    <t>-774,622 [41d] [-193.0%]</t>
  </si>
  <si>
    <t>194,844 [36.0%] [profitable:45.0%]</t>
  </si>
  <si>
    <t>Y (1,576,046)</t>
  </si>
  <si>
    <t>399,647 [42d] [190.0%]</t>
  </si>
  <si>
    <t>-507,211 [75d] [-132.0%]</t>
  </si>
  <si>
    <t>214,532 [92.0%] [profitable:55.0%]</t>
  </si>
  <si>
    <t>Y (761,801)</t>
  </si>
  <si>
    <t>428,285 [128d] [74.0%]</t>
  </si>
  <si>
    <t>-2,140,911 [40d] [-391.0%]</t>
  </si>
  <si>
    <t>149,153 [23.0%] [profitable:30.0%]</t>
  </si>
  <si>
    <t>261,008 [224.0d] [180.0%]</t>
  </si>
  <si>
    <t>-104,743 [42.0d] [-149.0%]</t>
  </si>
  <si>
    <t>15,256 [10.0%] [profitable:42.0%]</t>
  </si>
  <si>
    <t>539,712 [42d] [1072.0%]</t>
  </si>
  <si>
    <t>-178,920 [84d] [-690.0%]</t>
  </si>
  <si>
    <t>-50,831 [-18.0%] [profitable:9.0%]</t>
  </si>
  <si>
    <t>2,214,495 [192.0d] [100.0%]</t>
  </si>
  <si>
    <t>-1,784,884 [194.0d] [-92.0%]</t>
  </si>
  <si>
    <t>2,200,374 [100.0%] [profitable:78.0%]</t>
  </si>
  <si>
    <t>Y (6,029,815)</t>
  </si>
  <si>
    <t>256,087 [12d] [1432.0%]</t>
  </si>
  <si>
    <t>-343,682 [11d] [-1177.0%]</t>
  </si>
  <si>
    <t>219,437 [100.0%] [profitable:81.0%]</t>
  </si>
  <si>
    <t>Y (17,387)</t>
  </si>
  <si>
    <t>2,028,077 [189.0d] [100.0%]</t>
  </si>
  <si>
    <t>-1,519,031 [12.0d] [-1083.0%]</t>
  </si>
  <si>
    <t>1,943,002 [100.0%] [profitable:79.0%]</t>
  </si>
  <si>
    <t>Y (3,477,538)</t>
  </si>
  <si>
    <t>270,235 [98d] [100.0%]</t>
  </si>
  <si>
    <t>-465,924 [10d] [-2517.0%]</t>
  </si>
  <si>
    <t>239,995 [100.0%] [profitable:90.0%]</t>
  </si>
  <si>
    <t>726,897 [12d] [3294.0%]</t>
  </si>
  <si>
    <t>-418,602 [46d] [-415.0%]</t>
  </si>
  <si>
    <t>-197,417 [-3507.0%] [profitable:7.0%]</t>
  </si>
  <si>
    <t>249,457 [194.0d] [100.0%]</t>
  </si>
  <si>
    <t>-331,351 [11.0d] [-3497.0%]</t>
  </si>
  <si>
    <t>249,457 [100.0%] [profitable:75.0%]</t>
  </si>
  <si>
    <t>Y (333,097)</t>
  </si>
  <si>
    <t>161,241 [185d] [100.0%]</t>
  </si>
  <si>
    <t>-155,459 [11d] [-4916.0%]</t>
  </si>
  <si>
    <t>151,439 [100.0%] [profitable:84.0%]</t>
  </si>
  <si>
    <t>Y (334,294)</t>
  </si>
  <si>
    <t>257,550 [193d] [100.0%]</t>
  </si>
  <si>
    <t>-9,776 [11d] [-19.0%]</t>
  </si>
  <si>
    <t>257,109 [100.0%] [profitable:99.0%]</t>
  </si>
  <si>
    <t>Y (147,227)</t>
  </si>
  <si>
    <t>145,913 [98d] [100.0%]</t>
  </si>
  <si>
    <t>-316,742 [10d] [-21547.0%]</t>
  </si>
  <si>
    <t>111,716 [100.0%] [profitable:81.0%]</t>
  </si>
  <si>
    <t>Y (22,588)</t>
  </si>
  <si>
    <t>665,612 [194.0d] [100.0%]</t>
  </si>
  <si>
    <t>-125,247 [6.0d] [-19454.0%]</t>
  </si>
  <si>
    <t>136,531 [100.0%] [profitable:94.0%]</t>
  </si>
  <si>
    <t>1,768,032 [368d] [276.0%]</t>
  </si>
  <si>
    <t>-395,372 [27d] [-156.0%]</t>
  </si>
  <si>
    <t>-101,981 [-58.0%] [profitable:65.0%]</t>
  </si>
  <si>
    <t>298,419 [369d] [100.0%]</t>
  </si>
  <si>
    <t>-547,903 [404d] [-9.0%]</t>
  </si>
  <si>
    <t>-373,658 [-4.0%] [profitable:4.0%]</t>
  </si>
  <si>
    <t>168,215 [369d] [100.0%]</t>
  </si>
  <si>
    <t>-624,171 [370d] [-12.0%]</t>
  </si>
  <si>
    <t>-306,319 [-3.0%] [profitable:1.0%]</t>
  </si>
  <si>
    <t>49,087 [125d] [100.0%]</t>
  </si>
  <si>
    <t>-314,411 [370d] [-7.0%]</t>
  </si>
  <si>
    <t>-247,544 [-4.0%] [profitable:2.0%]</t>
  </si>
  <si>
    <t>239,665 [369d] [100.0%]</t>
  </si>
  <si>
    <t>-479,708 [515d] [-7.0%]</t>
  </si>
  <si>
    <t>-436,682 [-6.0%] [profitable:5.0%]</t>
  </si>
  <si>
    <t>172,505 [369d] [100.0%]</t>
  </si>
  <si>
    <t>-595,683 [236d] [-16.0%]</t>
  </si>
  <si>
    <t>-448,009 [-5.0%] [profitable:1.0%]</t>
  </si>
  <si>
    <t>1,383,580 [370d] [210.0%]</t>
  </si>
  <si>
    <t>-344,437 [99d] [-71.0%]</t>
  </si>
  <si>
    <t>65,674 [100.0%] [profitable:80.0%]</t>
  </si>
  <si>
    <t>707,233 [370d] [44.0%]</t>
  </si>
  <si>
    <t>-749,208 [403d] [-42.0%]</t>
  </si>
  <si>
    <t>342,572 [100.0%] [profitable:77.0%]</t>
  </si>
  <si>
    <t>Y (1,069,911)</t>
  </si>
  <si>
    <t>189,573 [552.0d] [100.0%]</t>
  </si>
  <si>
    <t>-46,968 [74.0d] [-114.0%]</t>
  </si>
  <si>
    <t>57,843 [100.0%] [profitable:57.0%]</t>
  </si>
  <si>
    <t>23,177 [13d] [551.0%]</t>
  </si>
  <si>
    <t>-201,120 [370d] [-226.0%]</t>
  </si>
  <si>
    <t>-127,556 [-109.0%] [profitable:4.0%]</t>
  </si>
  <si>
    <t>303,087 [176d] [382.0%]</t>
  </si>
  <si>
    <t>-57,230 [1d] [-2044.0%]</t>
  </si>
  <si>
    <t>276,451 [312.0%] [profitable:98.0%]</t>
  </si>
  <si>
    <t>Y (413,877)</t>
  </si>
  <si>
    <t>2,742,786 [179d] [475.0%]</t>
  </si>
  <si>
    <t>-560,845 [11d] [-343.0%]</t>
  </si>
  <si>
    <t>2,729,727 [455.0%] [profitable:93.0%]</t>
  </si>
  <si>
    <t>Y (6,393,301)</t>
  </si>
  <si>
    <t>497,079 [180d] [100.0%]</t>
  </si>
  <si>
    <t>-127,047 [11d] [-296.0%]</t>
  </si>
  <si>
    <t>496,384 [100.0%] [profitable:90.0%]</t>
  </si>
  <si>
    <t>Y (518,098)</t>
  </si>
  <si>
    <t>348,699 [174d] [85.0%]</t>
  </si>
  <si>
    <t>-47,860 [1d] [-1047.0%]</t>
  </si>
  <si>
    <t>329,460 [76.0%] [profitable:98.0%]</t>
  </si>
  <si>
    <t>Y (384,761)</t>
  </si>
  <si>
    <t>328,560 [181d] [100.0%]</t>
  </si>
  <si>
    <t>-74,143 [1d] [-2287.0%]</t>
  </si>
  <si>
    <t>328,560 [100.0%] [profitable:94.0%]</t>
  </si>
  <si>
    <t>Y (155,843)</t>
  </si>
  <si>
    <t>178,432 [161d] [100.0%]</t>
  </si>
  <si>
    <t>-9,906 [1d] [-805.0%]</t>
  </si>
  <si>
    <t>173,928 [100.0%] [profitable:98.0%]</t>
  </si>
  <si>
    <t>Y (297,824)</t>
  </si>
  <si>
    <t>2,857,981 [179.0d] [100.0%]</t>
  </si>
  <si>
    <t>-1,136,791 [181.0d] [-71.0%]</t>
  </si>
  <si>
    <t>2,849,218 [100.0%] [profitable:92.0%]</t>
  </si>
  <si>
    <t>Y (6,244,872)</t>
  </si>
  <si>
    <t>208,381 [33d] [100.0%]</t>
  </si>
  <si>
    <t>-48,063 [0d] [-6464.0%]</t>
  </si>
  <si>
    <t>142,391 [100.0%] [profitable:94.0%]</t>
  </si>
  <si>
    <t>Y (111,242)</t>
  </si>
  <si>
    <t>446,565 [176d] [100.0%]</t>
  </si>
  <si>
    <t>-59,367 [1d] [-7169.0%]</t>
  </si>
  <si>
    <t>439,083 [100.0%] [profitable:98.0%]</t>
  </si>
  <si>
    <t>Y (351,032)</t>
  </si>
  <si>
    <t>553,586 [176d] [256.0%]</t>
  </si>
  <si>
    <t>-37,636 [1d] [-1060.0%]</t>
  </si>
  <si>
    <t>539,971 [239.0%] [profitable:98.0%]</t>
  </si>
  <si>
    <t>Y (516,576)</t>
  </si>
  <si>
    <t>Current PnL</t>
  </si>
  <si>
    <t>305,205 [273.0d] [100%]</t>
  </si>
  <si>
    <t>27,008 [89.0d] [100%]</t>
  </si>
  <si>
    <t>115,652 [100%] [profitable:100.0%]</t>
  </si>
  <si>
    <t>1,544,946 [269.0d] [100.0%]</t>
  </si>
  <si>
    <t>-2,088,953 [88.0d] [-200.0%]</t>
  </si>
  <si>
    <t>1,410,977 [100.0%] [profitable:72.0%]</t>
  </si>
  <si>
    <t>Y (4,877,983)</t>
  </si>
  <si>
    <t>135,817 [262d] [100.0%]</t>
  </si>
  <si>
    <t>-95,184 [88d] [-30.0%]</t>
  </si>
  <si>
    <t>118,289 [100.0%] [profitable:93.0%]</t>
  </si>
  <si>
    <t>Y (129,607)</t>
  </si>
  <si>
    <t>626,549 [30d] [100.0%]</t>
  </si>
  <si>
    <t>-84,482 [2d] [-375.0%]</t>
  </si>
  <si>
    <t>273,153 [100.0%] [profitable:88.0%]</t>
  </si>
  <si>
    <t>1,031,615 [214.0d] [100.0%]</t>
  </si>
  <si>
    <t>-78,408 [29.0d] [-82.0%]</t>
  </si>
  <si>
    <t>321,359 [100.0%] [profitable:97.0%]</t>
  </si>
  <si>
    <t>Y (84,855)</t>
  </si>
  <si>
    <t>417,819 [214.0d] [100.0%]</t>
  </si>
  <si>
    <t>-163,276 [29.0d] [-350.0%]</t>
  </si>
  <si>
    <t>116,086 [100.0%] [profitable:85.0%]</t>
  </si>
  <si>
    <t>193,446 [199d] [90.0%]</t>
  </si>
  <si>
    <t>-258,232 [18d] [-315.0%]</t>
  </si>
  <si>
    <t>149,871 [56.0%] [profitable:76.0%]</t>
  </si>
  <si>
    <t>Y (363,229)</t>
  </si>
  <si>
    <t>263,171 [199.0d] [100.0%]</t>
  </si>
  <si>
    <t>-318,790 [18.0d] [-3890.0%]</t>
  </si>
  <si>
    <t>222,160 [100.0%] [profitable:78.0%]</t>
  </si>
  <si>
    <t>Y (373,036)</t>
  </si>
  <si>
    <t>177,322 [19d] [205.0%]</t>
  </si>
  <si>
    <t>-211,889 [13d] [-361.0%]</t>
  </si>
  <si>
    <t>72,664 [16.0%] [profitable:65.0%]</t>
  </si>
  <si>
    <t>415,614 [178d] [282.0%]</t>
  </si>
  <si>
    <t>-79,477 [1d] [-1459.0%]</t>
  </si>
  <si>
    <t>382,981 [189.0%] [profitable:97.0%]</t>
  </si>
  <si>
    <t>Y (221,083)</t>
  </si>
  <si>
    <t>155,597 [183d] [100.0%]</t>
  </si>
  <si>
    <t>-87,245 [1d] [-4026.0%]</t>
  </si>
  <si>
    <t>143,855 [100.0%] [profitable:96.0%]</t>
  </si>
  <si>
    <t>Y (261,549)</t>
  </si>
  <si>
    <t>553,036 [178d] [286.0%]</t>
  </si>
  <si>
    <t>-164,775 [1d] [-4319.0%]</t>
  </si>
  <si>
    <t>502,517 [226.0%] [profitable:97.0%]</t>
  </si>
  <si>
    <t>Y (553,396)</t>
  </si>
  <si>
    <t>2,820,776 [175.0d] [100.0%]</t>
  </si>
  <si>
    <t>-1,075,253 [179.0d] [-77.0%]</t>
  </si>
  <si>
    <t>2,489,848 [100.0%] [profitable:93.0%]</t>
  </si>
  <si>
    <t>Y (6,524,595)</t>
  </si>
  <si>
    <t>557,116 [176d] [100.0%]</t>
  </si>
  <si>
    <t>-123,921 [7d] [-701.0%]</t>
  </si>
  <si>
    <t>509,952 [100.0%] [profitable:93.0%]</t>
  </si>
  <si>
    <t>Y (493,225)</t>
  </si>
  <si>
    <t>2,722,847 [175d] [540.0%]</t>
  </si>
  <si>
    <t>-578,112 [7d] [-553.0%]</t>
  </si>
  <si>
    <t>2,367,116 [329.0%] [profitable:94.0%]</t>
  </si>
  <si>
    <t>Y (6,713,144)</t>
  </si>
  <si>
    <t>71,861 [140d] [100.0%]</t>
  </si>
  <si>
    <t>-41,476 [26d] [-25.0%]</t>
  </si>
  <si>
    <t>63,052 [100.0%] [profitable:75.0%]</t>
  </si>
  <si>
    <t>Y (58,329)</t>
  </si>
  <si>
    <t>139,913 [140d] [2024.0%]</t>
  </si>
  <si>
    <t>-56,911 [0d] [-2779.0%]</t>
  </si>
  <si>
    <t>117,021 [361.0%] [profitable:80.0%]</t>
  </si>
  <si>
    <t>Y (246,435)</t>
  </si>
  <si>
    <t>120,622 [43d] [100.0%]</t>
  </si>
  <si>
    <t>-40,026 [89d] [-278.0%]</t>
  </si>
  <si>
    <t>39,763 [100.0%] [profitable:75.0%]</t>
  </si>
  <si>
    <t>218,167 [117d] [100.0%]</t>
  </si>
  <si>
    <t>-100,489 [1d] [-1101.0%]</t>
  </si>
  <si>
    <t>210,281 [100.0%] [profitable:77.0%]</t>
  </si>
  <si>
    <t>Y (1,392,608)</t>
  </si>
  <si>
    <t>124,785 [112d] [100%]</t>
  </si>
  <si>
    <t>26,083 [1d] [100%]</t>
  </si>
  <si>
    <t>114,563 [100%] [profitable:100.0%]</t>
  </si>
  <si>
    <t>Y (541,785)</t>
  </si>
  <si>
    <t>54,959 [15d] [168.0%]</t>
  </si>
  <si>
    <t>-134,584 [63d] [-94.0%]</t>
  </si>
  <si>
    <t>27,513 [14.0%] [profitable:17.0%]</t>
  </si>
  <si>
    <t>242,226 [32d] [213.0%]</t>
  </si>
  <si>
    <t>-239,723 [18d] [-363.0%]</t>
  </si>
  <si>
    <t>143,205 [78.0%] [profitable:38.0%]</t>
  </si>
  <si>
    <t>138,961 [59d] [100%]</t>
  </si>
  <si>
    <t>41,142 [0d] [100%]</t>
  </si>
  <si>
    <t>112,473 [100%] [profitable:100.0%]</t>
  </si>
  <si>
    <t>Y (247,462)</t>
  </si>
  <si>
    <t>127,779 [69d] [100%]</t>
  </si>
  <si>
    <t>53,846 [0d] [100%]</t>
  </si>
  <si>
    <t>117,172 [100%] [profitable:100.0%]</t>
  </si>
  <si>
    <t>Y (556,540)</t>
  </si>
  <si>
    <t>134,953 [1d] [1753.0%]</t>
  </si>
  <si>
    <t>-201,144 [32d] [-110.0%]</t>
  </si>
  <si>
    <t>-14,724 [-5.0%] [profitable:12.0%]</t>
  </si>
  <si>
    <t>128,919 [43d] [89.0%]</t>
  </si>
  <si>
    <t>-219,299 [31d] [-236.0%]</t>
  </si>
  <si>
    <t>128,919 [89.0%] [profitable:16.0%]</t>
  </si>
  <si>
    <t>123,916 [28d] [99.0%]</t>
  </si>
  <si>
    <t>-32,341 [0d] [-595.0%]</t>
  </si>
  <si>
    <t>118,391 [58.0%] [profitable:97.0%]</t>
  </si>
  <si>
    <t>Y (716,961)</t>
  </si>
  <si>
    <t>-10,873 [19d] [-6.0%]</t>
  </si>
  <si>
    <t>-42,048 [0d] [-415.0%]</t>
  </si>
  <si>
    <t>-15,301 [-10.0%] [profitable:0.0%]</t>
  </si>
  <si>
    <t>-48,197 [0d] [-845.0%]</t>
  </si>
  <si>
    <t>-48,197 [-845.0%] [profitable:0.0%]</t>
  </si>
  <si>
    <t>-48,266 [0d] [-841.0%]</t>
  </si>
  <si>
    <t>-48,266 [-841.0%] [profitable:0.0%]</t>
  </si>
  <si>
    <t>-26,317 [0d] [-568.0%]</t>
  </si>
  <si>
    <t>-26,317 [-568.0%] [profitable:0.0%]</t>
  </si>
  <si>
    <t>311,194 [23d] [408.0%]</t>
  </si>
  <si>
    <t>-99,061 [2d] [-1040.0%]</t>
  </si>
  <si>
    <t>146,988 [56.0%] [profitable:81.0%]</t>
  </si>
  <si>
    <t>Y (1,340,259)</t>
  </si>
  <si>
    <t>317,199 [110d] [148.0%]</t>
  </si>
  <si>
    <t>10,743 [7d] [34.0%]</t>
  </si>
  <si>
    <t>299,435 [137.0%] [profitable:100.0%]</t>
  </si>
  <si>
    <t>Y (1,337,255)</t>
  </si>
  <si>
    <t>52,355 [20d] [100.0%]</t>
  </si>
  <si>
    <t>-30,782 [7d] [-43.0%]</t>
  </si>
  <si>
    <t>34,583 [100.0%] [profitable:86.0%]</t>
  </si>
  <si>
    <t>-6,511 [41d] [-2.0%]</t>
  </si>
  <si>
    <t>-68,699 [1d] [-700.0%]</t>
  </si>
  <si>
    <t>-23,454 [-3.0%] [profitable:0.0%]</t>
  </si>
  <si>
    <t>100,822 [29d] [90.0%]</t>
  </si>
  <si>
    <t>-98,724 [3d] [-700.0%]</t>
  </si>
  <si>
    <t>91,951 [45.0%] [profitable:37.0%]</t>
  </si>
  <si>
    <t>8,041 [41d] [100.0%]</t>
  </si>
  <si>
    <t>-59,829 [1d] [-569.0%]</t>
  </si>
  <si>
    <t>-26,229 [-3.0%] [profitable:6.0%]</t>
  </si>
  <si>
    <t>15,271 [21d] [100.0%]</t>
  </si>
  <si>
    <t>-24,114 [3d] [-82.0%]</t>
  </si>
  <si>
    <t>-231 [-0.0%] [profitable:47.0%]</t>
  </si>
  <si>
    <t>123,846 [9d] [348.0%]</t>
  </si>
  <si>
    <t>-63,983 [1d] [-1553.0%]</t>
  </si>
  <si>
    <t>118,533 [78.0%] [profitable:79.0%]</t>
  </si>
  <si>
    <t>226,628 [15d] [453.0%]</t>
  </si>
  <si>
    <t>-32,687 [1d] [-959.0%]</t>
  </si>
  <si>
    <t>215,361 [193.0%] [profitable:92.0%]</t>
  </si>
  <si>
    <t>9,800 [8d] [100.0%]</t>
  </si>
  <si>
    <t>-29,103 [14d] [-19.0%]</t>
  </si>
  <si>
    <t>-10,159 [-4.0%] [profitable:33.0%]</t>
  </si>
  <si>
    <t>PNL/Signal</t>
  </si>
  <si>
    <t>CHECK</t>
  </si>
  <si>
    <t>x</t>
  </si>
  <si>
    <t>MAX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</si>
</sst>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70" formatCode="_-* #,##0_-;\-* #,##0_-;_-* &quot;-&quot;??_-;_-@_-"/>
    <numFmt numFmtId="171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7" fontId="1" fillId="0" borderId="0" applyFont="0" applyFill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4" borderId="0" applyNumberFormat="0" applyBorder="0" applyAlignment="0" applyProtection="0"/>
    <xf numFmtId="0" fontId="18" fillId="0" borderId="0" applyNumberFormat="0" applyFill="0" applyBorder="0" applyAlignment="0" applyProtection="0"/>
    <xf numFmtId="22" fontId="17" fillId="0" borderId="0"/>
  </cellStyleXfs>
  <cellXfs count="28">
    <xf numFmtId="0" fontId="0" fillId="0" borderId="0" xfId="0"/>
    <xf numFmtId="0" fontId="0" fillId="0" borderId="0" xfId="0"/>
    <xf numFmtId="0" fontId="16" fillId="0" borderId="10" xfId="0" applyFont="1" applyBorder="1" applyAlignment="1">
      <alignment horizontal="center" vertical="top"/>
    </xf>
    <xf numFmtId="0" fontId="0" fillId="0" borderId="0" xfId="0"/>
    <xf numFmtId="0" fontId="0" fillId="0" borderId="0" xfId="0"/>
    <xf numFmtId="171" fontId="0" fillId="0" borderId="0" xfId="0" applyNumberFormat="1"/>
    <xf numFmtId="170" fontId="16" fillId="0" borderId="11" xfId="1" applyNumberFormat="1" applyFont="1" applyFill="1" applyBorder="1" applyAlignment="1">
      <alignment horizontal="center" vertical="top"/>
    </xf>
    <xf numFmtId="170" fontId="16" fillId="0" borderId="10" xfId="1" applyNumberFormat="1" applyFont="1" applyBorder="1" applyAlignment="1">
      <alignment horizontal="center" vertical="top"/>
    </xf>
    <xf numFmtId="170" fontId="0" fillId="0" borderId="0" xfId="1" applyNumberFormat="1" applyFont="1"/>
    <xf numFmtId="0" fontId="0" fillId="33" borderId="0" xfId="0" applyFill="1"/>
    <xf numFmtId="170" fontId="0" fillId="0" borderId="0" xfId="35" applyNumberFormat="1" applyFont="1" applyFill="1"/>
    <xf numFmtId="170" fontId="16" fillId="33" borderId="11" xfId="1" applyNumberFormat="1" applyFont="1" applyFill="1" applyBorder="1" applyAlignment="1">
      <alignment horizontal="center" vertical="top"/>
    </xf>
    <xf numFmtId="0" fontId="0" fillId="0" borderId="0" xfId="0" applyFill="1"/>
    <xf numFmtId="170" fontId="0" fillId="34" borderId="0" xfId="0" applyNumberFormat="1" applyFill="1"/>
    <xf numFmtId="170" fontId="0" fillId="34" borderId="0" xfId="1" applyNumberFormat="1" applyFont="1" applyFill="1"/>
    <xf numFmtId="170" fontId="0" fillId="33" borderId="0" xfId="0" applyNumberFormat="1" applyFill="1"/>
    <xf numFmtId="170" fontId="0" fillId="0" borderId="0" xfId="1" applyNumberFormat="1" applyFont="1" applyFill="1"/>
    <xf numFmtId="171" fontId="0" fillId="0" borderId="0" xfId="0" applyNumberFormat="1" applyFill="1"/>
    <xf numFmtId="171" fontId="16" fillId="0" borderId="10" xfId="0" applyNumberFormat="1" applyFont="1" applyBorder="1" applyAlignment="1">
      <alignment horizontal="center" vertical="top"/>
    </xf>
    <xf numFmtId="0" fontId="0" fillId="34" borderId="0" xfId="0" applyFill="1"/>
    <xf numFmtId="0" fontId="0" fillId="0" borderId="0" xfId="0"/>
    <xf numFmtId="170" fontId="20" fillId="35" borderId="0" xfId="1" applyNumberFormat="1" applyFont="1" applyFill="1"/>
    <xf numFmtId="170" fontId="0" fillId="35" borderId="0" xfId="1" applyNumberFormat="1" applyFont="1" applyFill="1"/>
    <xf numFmtId="170" fontId="20" fillId="36" borderId="0" xfId="1" applyNumberFormat="1" applyFont="1" applyFill="1"/>
    <xf numFmtId="0" fontId="0" fillId="37" borderId="0" xfId="0" applyFill="1"/>
    <xf numFmtId="170" fontId="0" fillId="37" borderId="0" xfId="1" applyNumberFormat="1" applyFont="1" applyFill="1"/>
    <xf numFmtId="170" fontId="20" fillId="37" borderId="0" xfId="1" applyNumberFormat="1" applyFont="1" applyFill="1"/>
    <xf numFmtId="170" fontId="0" fillId="37" borderId="0" xfId="0" applyNumberFormat="1" applyFill="1"/>
  </cellXfs>
  <cellStyles count="45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8A7C365C-F8A0-4AAE-BFA9-AFF49DEE3039}"/>
    <cellStyle name="60% - Accent2 2" xfId="37" xr:uid="{DD8CE075-454C-4C66-BEC0-8366891A181C}"/>
    <cellStyle name="60% - Accent3 2" xfId="38" xr:uid="{B38D1819-E625-458D-A112-968D9FE445D0}"/>
    <cellStyle name="60% - Accent4 2" xfId="39" xr:uid="{545BBE34-CF49-460A-A165-5037E99D5AF8}"/>
    <cellStyle name="60% - Accent5 2" xfId="40" xr:uid="{5175748C-67C5-4DB0-AB2C-E206B448E31F}"/>
    <cellStyle name="60% - Accent6 2" xfId="41" xr:uid="{CB2C6293-8A41-4D39-82F7-BA14BAED038B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blp_datetime" xfId="44" xr:uid="{08D4C6E6-AA89-4291-9974-E038BBB09946}"/>
    <cellStyle name="Calculation" xfId="10" builtinId="22" customBuiltin="1"/>
    <cellStyle name="Check Cell" xfId="12" builtinId="23" customBuiltin="1"/>
    <cellStyle name="Comma" xfId="1" builtinId="3"/>
    <cellStyle name="Comma 2" xfId="35" xr:uid="{6F2B5872-34EE-4DC3-B565-CAAE5C257941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2" xr:uid="{A00DDD4E-A6B9-4112-BD47-9566EE55C382}"/>
    <cellStyle name="Normal" xfId="0" builtinId="0"/>
    <cellStyle name="Note" xfId="14" builtinId="10" customBuiltin="1"/>
    <cellStyle name="Output" xfId="9" builtinId="21" customBuiltin="1"/>
    <cellStyle name="Title 2" xfId="43" xr:uid="{80C23FCF-88BB-46C8-A7AE-E591111AB2C1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4820-0BDF-45B1-9B55-AC9FD792A901}">
  <sheetPr filterMode="1"/>
  <dimension ref="A1:AK351"/>
  <sheetViews>
    <sheetView tabSelected="1" zoomScale="60" zoomScaleNormal="60" workbookViewId="0">
      <pane ySplit="1" topLeftCell="A280" activePane="bottomLeft" state="frozen"/>
      <selection pane="bottomLeft" activeCell="Y307" sqref="Y307"/>
    </sheetView>
  </sheetViews>
  <sheetFormatPr defaultRowHeight="15" x14ac:dyDescent="0.25"/>
  <cols>
    <col min="1" max="1" width="21.5703125" style="5" bestFit="1" customWidth="1"/>
    <col min="3" max="3" width="8.140625" customWidth="1"/>
    <col min="6" max="6" width="16.85546875" bestFit="1" customWidth="1"/>
    <col min="7" max="7" width="8.85546875" customWidth="1"/>
    <col min="17" max="18" width="13.42578125" style="8" customWidth="1"/>
    <col min="19" max="19" width="16.28515625" style="8" bestFit="1" customWidth="1"/>
    <col min="22" max="22" width="1.28515625" customWidth="1"/>
    <col min="23" max="23" width="16.42578125" style="8" customWidth="1"/>
    <col min="24" max="24" width="26" customWidth="1"/>
    <col min="25" max="25" width="29" bestFit="1" customWidth="1"/>
    <col min="26" max="26" width="32.85546875" customWidth="1"/>
    <col min="27" max="27" width="3.5703125" customWidth="1"/>
    <col min="28" max="28" width="3.42578125" customWidth="1"/>
    <col min="29" max="29" width="13" style="8" customWidth="1"/>
    <col min="30" max="31" width="16.42578125" style="8" bestFit="1" customWidth="1"/>
    <col min="32" max="32" width="18" style="8" bestFit="1" customWidth="1"/>
    <col min="33" max="33" width="13.140625" style="15" customWidth="1"/>
    <col min="34" max="34" width="9.140625" style="9"/>
    <col min="35" max="35" width="15.85546875" style="8" bestFit="1" customWidth="1"/>
  </cols>
  <sheetData>
    <row r="1" spans="1:37" x14ac:dyDescent="0.25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7" t="s">
        <v>18</v>
      </c>
      <c r="T1" s="2" t="s">
        <v>19</v>
      </c>
      <c r="U1" s="2" t="s">
        <v>20</v>
      </c>
      <c r="V1" s="2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7" t="s">
        <v>28</v>
      </c>
      <c r="AD1" s="7" t="s">
        <v>29</v>
      </c>
      <c r="AE1" s="7" t="s">
        <v>30</v>
      </c>
      <c r="AF1" s="6" t="s">
        <v>1095</v>
      </c>
      <c r="AG1" s="11" t="s">
        <v>1236</v>
      </c>
      <c r="AH1" s="11" t="s">
        <v>1237</v>
      </c>
      <c r="AI1" s="6" t="s">
        <v>1239</v>
      </c>
    </row>
    <row r="2" spans="1:37" hidden="1" x14ac:dyDescent="0.25">
      <c r="A2" s="5">
        <v>45306</v>
      </c>
      <c r="B2" s="1" t="s">
        <v>57</v>
      </c>
      <c r="C2" s="1">
        <v>39</v>
      </c>
      <c r="D2" s="1" t="s">
        <v>43</v>
      </c>
      <c r="E2" s="1" t="s">
        <v>33</v>
      </c>
      <c r="F2" s="1" t="s">
        <v>34</v>
      </c>
      <c r="G2" s="1" t="s">
        <v>31</v>
      </c>
      <c r="H2" s="1">
        <v>41</v>
      </c>
      <c r="I2" s="1" t="s">
        <v>252</v>
      </c>
      <c r="J2" s="1" t="s">
        <v>33</v>
      </c>
      <c r="K2" s="1" t="s">
        <v>37</v>
      </c>
      <c r="L2" s="1" t="s">
        <v>38</v>
      </c>
      <c r="M2" s="1">
        <v>0.17</v>
      </c>
      <c r="N2" s="1">
        <v>-0.4</v>
      </c>
      <c r="O2" s="1">
        <v>20</v>
      </c>
      <c r="P2" s="1">
        <v>9717.2999999999993</v>
      </c>
      <c r="Q2" s="1">
        <v>40000000</v>
      </c>
      <c r="R2" s="1">
        <v>236213738</v>
      </c>
      <c r="S2" s="8">
        <v>-7424233</v>
      </c>
      <c r="T2" s="1">
        <v>117</v>
      </c>
      <c r="U2" s="1">
        <v>20</v>
      </c>
      <c r="V2" s="1"/>
      <c r="W2" s="8">
        <v>-6609991</v>
      </c>
      <c r="X2" s="1" t="s">
        <v>371</v>
      </c>
      <c r="Y2" s="1" t="s">
        <v>372</v>
      </c>
      <c r="Z2" s="1" t="s">
        <v>373</v>
      </c>
      <c r="AA2" s="1" t="s">
        <v>42</v>
      </c>
      <c r="AB2" s="1"/>
      <c r="AC2" s="8">
        <v>80000</v>
      </c>
      <c r="AD2" s="8">
        <v>-256311.79815468891</v>
      </c>
      <c r="AE2" s="25">
        <v>-1775832.186271033</v>
      </c>
      <c r="AF2" s="8">
        <f>VALUE(SUBSTITUTE(LEFT(Z2, FIND(" ", Z2) - 1), ",", ""))</f>
        <v>151125</v>
      </c>
      <c r="AG2" s="15">
        <f ca="1">(AF2/YEARFRAC(A2,TODAY())/P2)</f>
        <v>8.1853471318381175</v>
      </c>
      <c r="AI2" s="8">
        <f>VALUE(SUBSTITUTE(LEFT(X2, FIND(" ", X2) - 1), ",", ""))</f>
        <v>904053</v>
      </c>
      <c r="AK2" s="20" t="str">
        <f>IF(AI2&gt;AC2, "YES","")</f>
        <v>YES</v>
      </c>
    </row>
    <row r="3" spans="1:37" hidden="1" x14ac:dyDescent="0.25">
      <c r="A3" s="5">
        <v>45386</v>
      </c>
      <c r="B3" s="1" t="s">
        <v>44</v>
      </c>
      <c r="C3" s="1">
        <v>39</v>
      </c>
      <c r="D3" s="1" t="s">
        <v>43</v>
      </c>
      <c r="E3" s="1" t="s">
        <v>33</v>
      </c>
      <c r="F3" s="1" t="s">
        <v>34</v>
      </c>
      <c r="G3" s="1" t="s">
        <v>31</v>
      </c>
      <c r="H3" s="1">
        <v>41</v>
      </c>
      <c r="I3" s="1" t="s">
        <v>252</v>
      </c>
      <c r="J3" s="1" t="s">
        <v>33</v>
      </c>
      <c r="K3" s="1" t="s">
        <v>37</v>
      </c>
      <c r="L3" s="1" t="s">
        <v>118</v>
      </c>
      <c r="M3" s="1">
        <v>0.28000000000000003</v>
      </c>
      <c r="N3" s="1">
        <v>-13.1</v>
      </c>
      <c r="O3" s="1">
        <v>24</v>
      </c>
      <c r="P3" s="1">
        <v>44.7</v>
      </c>
      <c r="Q3" s="8">
        <v>72645266</v>
      </c>
      <c r="R3" s="8">
        <v>255000000</v>
      </c>
      <c r="S3" s="8">
        <v>-6326092</v>
      </c>
      <c r="T3" s="1">
        <v>43</v>
      </c>
      <c r="U3" s="24">
        <v>16</v>
      </c>
      <c r="V3" s="1"/>
      <c r="W3" s="8">
        <v>-5901430</v>
      </c>
      <c r="X3" s="1" t="s">
        <v>1039</v>
      </c>
      <c r="Y3" s="1" t="s">
        <v>1040</v>
      </c>
      <c r="Z3" s="1" t="s">
        <v>1041</v>
      </c>
      <c r="AA3" s="1"/>
      <c r="AB3" s="1"/>
      <c r="AC3" s="14">
        <v>174348.6384</v>
      </c>
      <c r="AD3" s="14">
        <v>-607079.52863956196</v>
      </c>
      <c r="AE3" s="25">
        <v>-1578870.2499644731</v>
      </c>
      <c r="AF3" s="14">
        <f>VALUE(SUBSTITUTE(LEFT(Z3, FIND(" ", Z3) - 1), ",", ""))</f>
        <v>-448009</v>
      </c>
      <c r="AG3" s="13">
        <f ca="1">(AF3/YEARFRAC(A3,TODAY())/P3)</f>
        <v>-5963.8449165233787</v>
      </c>
      <c r="AH3" s="19" t="s">
        <v>1238</v>
      </c>
      <c r="AI3" s="14">
        <f>VALUE(SUBSTITUTE(LEFT(X3, FIND(" ", X3) - 1), ",", ""))</f>
        <v>172505</v>
      </c>
      <c r="AK3" s="20" t="str">
        <f>IF(AI3&gt;AC3, "YES","")</f>
        <v/>
      </c>
    </row>
    <row r="4" spans="1:37" hidden="1" x14ac:dyDescent="0.25">
      <c r="A4" s="5">
        <v>45386</v>
      </c>
      <c r="B4" s="1" t="s">
        <v>31</v>
      </c>
      <c r="C4" s="1">
        <v>40</v>
      </c>
      <c r="D4" s="1" t="s">
        <v>43</v>
      </c>
      <c r="E4" s="1" t="s">
        <v>33</v>
      </c>
      <c r="F4" s="1" t="s">
        <v>34</v>
      </c>
      <c r="G4" s="1" t="s">
        <v>31</v>
      </c>
      <c r="H4" s="1">
        <v>41</v>
      </c>
      <c r="I4" s="1" t="s">
        <v>252</v>
      </c>
      <c r="J4" s="1" t="s">
        <v>33</v>
      </c>
      <c r="K4" s="1" t="s">
        <v>37</v>
      </c>
      <c r="L4" s="1" t="s">
        <v>118</v>
      </c>
      <c r="M4" s="1">
        <v>0.36</v>
      </c>
      <c r="N4" s="1">
        <v>-3.8</v>
      </c>
      <c r="O4" s="1">
        <v>15.2</v>
      </c>
      <c r="P4" s="1">
        <v>265.5</v>
      </c>
      <c r="Q4" s="8">
        <v>91443323</v>
      </c>
      <c r="R4" s="8">
        <v>255000000</v>
      </c>
      <c r="S4" s="8">
        <v>-6167655</v>
      </c>
      <c r="T4" s="1">
        <v>41</v>
      </c>
      <c r="U4" s="24">
        <v>16</v>
      </c>
      <c r="V4" s="1"/>
      <c r="W4" s="8">
        <v>-5742992</v>
      </c>
      <c r="X4" s="1" t="s">
        <v>1027</v>
      </c>
      <c r="Y4" s="1" t="s">
        <v>1028</v>
      </c>
      <c r="Z4" s="1" t="s">
        <v>1029</v>
      </c>
      <c r="AA4" s="1"/>
      <c r="AB4" s="1"/>
      <c r="AC4" s="14">
        <v>138993.85096000001</v>
      </c>
      <c r="AD4" s="14">
        <v>-343722.63881341548</v>
      </c>
      <c r="AE4" s="25">
        <v>-1566978.8495968799</v>
      </c>
      <c r="AF4" s="14">
        <f>VALUE(SUBSTITUTE(LEFT(Z4, FIND(" ", Z4) - 1), ",", ""))</f>
        <v>-373658</v>
      </c>
      <c r="AG4" s="13">
        <f ca="1">(AF4/YEARFRAC(A4,TODAY())/P4)</f>
        <v>-837.44614091609458</v>
      </c>
      <c r="AH4" s="19" t="s">
        <v>1238</v>
      </c>
      <c r="AI4" s="14">
        <f>VALUE(SUBSTITUTE(LEFT(X4, FIND(" ", X4) - 1), ",", ""))</f>
        <v>298419</v>
      </c>
      <c r="AK4" s="20" t="str">
        <f>IF(AI4&gt;AC4, "YES","")</f>
        <v>YES</v>
      </c>
    </row>
    <row r="5" spans="1:37" hidden="1" x14ac:dyDescent="0.25">
      <c r="A5" s="5">
        <v>45617</v>
      </c>
      <c r="B5" s="1" t="s">
        <v>44</v>
      </c>
      <c r="C5" s="1">
        <v>41</v>
      </c>
      <c r="D5" s="1" t="s">
        <v>43</v>
      </c>
      <c r="E5" s="1" t="s">
        <v>33</v>
      </c>
      <c r="F5" s="1" t="s">
        <v>34</v>
      </c>
      <c r="G5" s="1" t="s">
        <v>31</v>
      </c>
      <c r="H5" s="1">
        <v>43</v>
      </c>
      <c r="I5" s="1" t="s">
        <v>252</v>
      </c>
      <c r="J5" s="1" t="s">
        <v>33</v>
      </c>
      <c r="K5" s="1" t="s">
        <v>37</v>
      </c>
      <c r="L5" s="1" t="s">
        <v>118</v>
      </c>
      <c r="M5" s="1">
        <v>0.28000000000000003</v>
      </c>
      <c r="N5" s="1">
        <v>-12</v>
      </c>
      <c r="O5" s="1">
        <v>12.5</v>
      </c>
      <c r="P5" s="1">
        <v>49.9</v>
      </c>
      <c r="Q5" s="20">
        <v>72130220</v>
      </c>
      <c r="R5" s="20">
        <v>255000000</v>
      </c>
      <c r="S5" s="8">
        <v>-6789319</v>
      </c>
      <c r="T5" s="1">
        <v>50</v>
      </c>
      <c r="U5" s="24">
        <v>17</v>
      </c>
      <c r="V5" s="1"/>
      <c r="W5" s="8">
        <v>-6633899</v>
      </c>
      <c r="X5" s="1" t="s">
        <v>549</v>
      </c>
      <c r="Y5" s="1" t="s">
        <v>550</v>
      </c>
      <c r="Z5" s="1" t="s">
        <v>551</v>
      </c>
      <c r="AA5" s="1"/>
      <c r="AB5" s="1"/>
      <c r="AC5" s="8">
        <v>90162.775000000009</v>
      </c>
      <c r="AD5" s="8">
        <v>-550674.49911019835</v>
      </c>
      <c r="AE5" s="25">
        <v>-1551158.02792477</v>
      </c>
      <c r="AF5" s="8">
        <f>VALUE(SUBSTITUTE(LEFT(Z5, FIND(" ", Z5) - 1), ",", ""))</f>
        <v>-33941</v>
      </c>
      <c r="AG5" s="15">
        <f ca="1">(AF5/YEARFRAC(A5,TODAY())/P5)</f>
        <v>-647.7908197347075</v>
      </c>
      <c r="AI5" s="8">
        <f>VALUE(SUBSTITUTE(LEFT(X5, FIND(" ", X5) - 1), ",", ""))</f>
        <v>1012212</v>
      </c>
      <c r="AK5" s="20" t="str">
        <f>IF(AI5&gt;AC5, "YES","")</f>
        <v>YES</v>
      </c>
    </row>
    <row r="6" spans="1:37" hidden="1" x14ac:dyDescent="0.25">
      <c r="A6" s="5">
        <v>45468</v>
      </c>
      <c r="B6" s="1" t="s">
        <v>31</v>
      </c>
      <c r="C6" s="1">
        <v>40</v>
      </c>
      <c r="D6" s="1" t="s">
        <v>43</v>
      </c>
      <c r="E6" s="1" t="s">
        <v>33</v>
      </c>
      <c r="F6" s="1" t="s">
        <v>34</v>
      </c>
      <c r="G6" s="1" t="s">
        <v>31</v>
      </c>
      <c r="H6" s="1">
        <v>41</v>
      </c>
      <c r="I6" s="1" t="s">
        <v>252</v>
      </c>
      <c r="J6" s="1" t="s">
        <v>33</v>
      </c>
      <c r="K6" s="1" t="s">
        <v>37</v>
      </c>
      <c r="L6" s="1" t="s">
        <v>118</v>
      </c>
      <c r="M6" s="1">
        <v>0.35</v>
      </c>
      <c r="N6" s="1">
        <v>-3.8</v>
      </c>
      <c r="O6" s="1">
        <v>10.6</v>
      </c>
      <c r="P6" s="1">
        <v>156</v>
      </c>
      <c r="Q6" s="8">
        <v>89962478</v>
      </c>
      <c r="R6" s="8">
        <v>255000000</v>
      </c>
      <c r="S6" s="8">
        <v>-5993210</v>
      </c>
      <c r="T6" s="1">
        <v>41</v>
      </c>
      <c r="U6" s="24">
        <v>16</v>
      </c>
      <c r="V6" s="1"/>
      <c r="W6" s="8">
        <v>-5572374</v>
      </c>
      <c r="X6" s="1" t="s">
        <v>437</v>
      </c>
      <c r="Y6" s="1" t="s">
        <v>438</v>
      </c>
      <c r="Z6" s="1" t="s">
        <v>439</v>
      </c>
      <c r="AA6" s="1"/>
      <c r="AB6" s="1"/>
      <c r="AC6" s="14">
        <v>95360.226679999992</v>
      </c>
      <c r="AD6" s="14">
        <v>-360498.26510937721</v>
      </c>
      <c r="AE6" s="25">
        <v>-1535249.0260331649</v>
      </c>
      <c r="AF6" s="14">
        <f>VALUE(SUBSTITUTE(LEFT(Z6, FIND(" ", Z6) - 1), ",", ""))</f>
        <v>-337989</v>
      </c>
      <c r="AG6" s="13">
        <f ca="1">(AF6/YEARFRAC(A6,TODAY())/P6)</f>
        <v>-1488.5011743981211</v>
      </c>
      <c r="AH6" s="19" t="s">
        <v>1238</v>
      </c>
      <c r="AI6" s="14">
        <f>VALUE(SUBSTITUTE(LEFT(X6, FIND(" ", X6) - 1), ",", ""))</f>
        <v>340418</v>
      </c>
      <c r="AK6" s="20" t="str">
        <f>IF(AI6&gt;AC6, "YES","")</f>
        <v>YES</v>
      </c>
    </row>
    <row r="7" spans="1:37" hidden="1" x14ac:dyDescent="0.25">
      <c r="A7" s="5">
        <v>45386</v>
      </c>
      <c r="B7" s="20" t="s">
        <v>31</v>
      </c>
      <c r="C7" s="20">
        <v>39</v>
      </c>
      <c r="D7" s="20" t="s">
        <v>43</v>
      </c>
      <c r="E7" s="20" t="s">
        <v>33</v>
      </c>
      <c r="F7" s="20" t="s">
        <v>34</v>
      </c>
      <c r="G7" s="20" t="s">
        <v>31</v>
      </c>
      <c r="H7" s="20">
        <v>41</v>
      </c>
      <c r="I7" s="20" t="s">
        <v>252</v>
      </c>
      <c r="J7" s="20" t="s">
        <v>33</v>
      </c>
      <c r="K7" s="20" t="s">
        <v>37</v>
      </c>
      <c r="L7" s="20" t="s">
        <v>118</v>
      </c>
      <c r="M7" s="20">
        <v>0.33</v>
      </c>
      <c r="N7" s="20">
        <v>-10.3</v>
      </c>
      <c r="O7" s="20">
        <v>28.5</v>
      </c>
      <c r="P7" s="20">
        <v>52.4</v>
      </c>
      <c r="Q7" s="8">
        <v>70000000</v>
      </c>
      <c r="R7" s="8">
        <v>210179785</v>
      </c>
      <c r="S7" s="8">
        <v>-5279210</v>
      </c>
      <c r="T7" s="20">
        <v>38</v>
      </c>
      <c r="U7" s="24">
        <v>16</v>
      </c>
      <c r="V7" s="20"/>
      <c r="W7" s="8">
        <v>-4929189</v>
      </c>
      <c r="X7" s="20" t="s">
        <v>1036</v>
      </c>
      <c r="Y7" s="20" t="s">
        <v>1037</v>
      </c>
      <c r="Z7" s="20" t="s">
        <v>1038</v>
      </c>
      <c r="AA7" s="20"/>
      <c r="AB7" s="1"/>
      <c r="AC7" s="14">
        <v>199500</v>
      </c>
      <c r="AD7" s="14">
        <v>-597730.47495140333</v>
      </c>
      <c r="AE7" s="25">
        <v>-1482920.545084646</v>
      </c>
      <c r="AF7" s="14">
        <f>VALUE(SUBSTITUTE(LEFT(Z7, FIND(" ", Z7) - 1), ",", ""))</f>
        <v>-436682</v>
      </c>
      <c r="AG7" s="13">
        <f ca="1">(AF7/YEARFRAC(A7,TODAY())/P7)</f>
        <v>-4958.8518074569429</v>
      </c>
      <c r="AH7" s="19" t="s">
        <v>1238</v>
      </c>
      <c r="AI7" s="14">
        <f>VALUE(SUBSTITUTE(LEFT(X7, FIND(" ", X7) - 1), ",", ""))</f>
        <v>239665</v>
      </c>
      <c r="AK7" s="20" t="str">
        <f>IF(AI7&gt;AC7, "YES","")</f>
        <v>YES</v>
      </c>
    </row>
    <row r="8" spans="1:37" hidden="1" x14ac:dyDescent="0.25">
      <c r="A8" s="5">
        <v>45496</v>
      </c>
      <c r="B8" s="1" t="s">
        <v>31</v>
      </c>
      <c r="C8" s="1">
        <v>40</v>
      </c>
      <c r="D8" s="1" t="s">
        <v>43</v>
      </c>
      <c r="E8" s="1" t="s">
        <v>33</v>
      </c>
      <c r="F8" s="1" t="s">
        <v>34</v>
      </c>
      <c r="G8" s="1" t="s">
        <v>31</v>
      </c>
      <c r="H8" s="1">
        <v>41</v>
      </c>
      <c r="I8" s="1" t="s">
        <v>252</v>
      </c>
      <c r="J8" s="1" t="s">
        <v>33</v>
      </c>
      <c r="K8" s="1" t="s">
        <v>37</v>
      </c>
      <c r="L8" s="1" t="s">
        <v>118</v>
      </c>
      <c r="M8" s="1">
        <v>0.35</v>
      </c>
      <c r="N8" s="1">
        <v>-3.4</v>
      </c>
      <c r="O8" s="1">
        <v>13.7</v>
      </c>
      <c r="P8" s="1">
        <v>116.1</v>
      </c>
      <c r="Q8" s="20">
        <v>89578669</v>
      </c>
      <c r="R8" s="20">
        <v>255000000</v>
      </c>
      <c r="S8" s="8">
        <v>-5735854</v>
      </c>
      <c r="T8" s="1">
        <v>37</v>
      </c>
      <c r="U8" s="24">
        <v>14</v>
      </c>
      <c r="V8" s="1"/>
      <c r="W8" s="8">
        <v>-5492398</v>
      </c>
      <c r="X8" s="1" t="s">
        <v>777</v>
      </c>
      <c r="Y8" s="1" t="s">
        <v>778</v>
      </c>
      <c r="Z8" s="1" t="s">
        <v>779</v>
      </c>
      <c r="AA8" s="1"/>
      <c r="AB8" s="1"/>
      <c r="AC8" s="8">
        <v>122722.77653</v>
      </c>
      <c r="AD8" s="8">
        <v>-278793.00334455841</v>
      </c>
      <c r="AE8" s="25">
        <v>-1438487.243859461</v>
      </c>
      <c r="AF8" s="8">
        <f>VALUE(SUBSTITUTE(LEFT(Z8, FIND(" ", Z8) - 1), ",", ""))</f>
        <v>-251719</v>
      </c>
      <c r="AG8" s="15">
        <f ca="1">(AF8/YEARFRAC(A8,TODAY())/P8)</f>
        <v>-1573.6371592898226</v>
      </c>
      <c r="AI8" s="8">
        <f>VALUE(SUBSTITUTE(LEFT(X8, FIND(" ", X8) - 1), ",", ""))</f>
        <v>432611</v>
      </c>
      <c r="AK8" s="20" t="str">
        <f>IF(AI8&gt;AC8, "YES","")</f>
        <v>YES</v>
      </c>
    </row>
    <row r="9" spans="1:37" hidden="1" x14ac:dyDescent="0.25">
      <c r="A9" s="5">
        <v>45468</v>
      </c>
      <c r="B9" s="1" t="s">
        <v>44</v>
      </c>
      <c r="C9" s="1">
        <v>39</v>
      </c>
      <c r="D9" s="1" t="s">
        <v>43</v>
      </c>
      <c r="E9" s="1" t="s">
        <v>33</v>
      </c>
      <c r="F9" s="1" t="s">
        <v>34</v>
      </c>
      <c r="G9" s="1" t="s">
        <v>31</v>
      </c>
      <c r="H9" s="1">
        <v>41</v>
      </c>
      <c r="I9" s="1" t="s">
        <v>252</v>
      </c>
      <c r="J9" s="1" t="s">
        <v>33</v>
      </c>
      <c r="K9" s="1" t="s">
        <v>37</v>
      </c>
      <c r="L9" s="1" t="s">
        <v>118</v>
      </c>
      <c r="M9" s="1">
        <v>0.3</v>
      </c>
      <c r="N9" s="1">
        <v>-4</v>
      </c>
      <c r="O9" s="1">
        <v>34.799999999999997</v>
      </c>
      <c r="P9" s="1">
        <v>42.8</v>
      </c>
      <c r="Q9" s="1">
        <v>75492607</v>
      </c>
      <c r="R9" s="1">
        <v>255000000</v>
      </c>
      <c r="S9" s="8">
        <v>-6235197</v>
      </c>
      <c r="T9" s="1">
        <v>50</v>
      </c>
      <c r="U9" s="24">
        <v>16</v>
      </c>
      <c r="V9" s="1"/>
      <c r="W9" s="8">
        <v>-5814361</v>
      </c>
      <c r="X9" s="1" t="s">
        <v>463</v>
      </c>
      <c r="Y9" s="1" t="s">
        <v>464</v>
      </c>
      <c r="Z9" s="1" t="s">
        <v>465</v>
      </c>
      <c r="AA9" s="1"/>
      <c r="AB9" s="1"/>
      <c r="AC9" s="8">
        <v>262714.27235999989</v>
      </c>
      <c r="AD9" s="8">
        <v>-326148.72290212172</v>
      </c>
      <c r="AE9" s="25">
        <v>-1311948.5751179589</v>
      </c>
      <c r="AF9" s="8">
        <f>VALUE(SUBSTITUTE(LEFT(Z9, FIND(" ", Z9) - 1), ",", ""))</f>
        <v>-146631</v>
      </c>
      <c r="AG9" s="15">
        <f ca="1">(AF9/YEARFRAC(A9,TODAY())/P9)</f>
        <v>-2353.7115645287868</v>
      </c>
      <c r="AI9" s="8">
        <f>VALUE(SUBSTITUTE(LEFT(X9, FIND(" ", X9) - 1), ",", ""))</f>
        <v>434068</v>
      </c>
      <c r="AK9" s="20" t="str">
        <f>IF(AI9&gt;AC9, "YES","")</f>
        <v>YES</v>
      </c>
    </row>
    <row r="10" spans="1:37" hidden="1" x14ac:dyDescent="0.25">
      <c r="A10" s="5">
        <v>45707</v>
      </c>
      <c r="B10" s="20" t="s">
        <v>31</v>
      </c>
      <c r="C10" s="20">
        <v>41</v>
      </c>
      <c r="D10" s="20" t="s">
        <v>43</v>
      </c>
      <c r="E10" s="20" t="s">
        <v>33</v>
      </c>
      <c r="F10" s="20" t="s">
        <v>34</v>
      </c>
      <c r="G10" s="20" t="s">
        <v>35</v>
      </c>
      <c r="H10" s="20">
        <v>42</v>
      </c>
      <c r="I10" s="20" t="s">
        <v>36</v>
      </c>
      <c r="J10" s="20" t="s">
        <v>33</v>
      </c>
      <c r="K10" s="20" t="s">
        <v>37</v>
      </c>
      <c r="L10" s="20" t="s">
        <v>118</v>
      </c>
      <c r="M10" s="20">
        <v>2.09</v>
      </c>
      <c r="N10" s="20">
        <v>-2.7</v>
      </c>
      <c r="O10" s="20">
        <v>10.9</v>
      </c>
      <c r="P10" s="20">
        <v>346.9</v>
      </c>
      <c r="Q10" s="20">
        <v>73225546</v>
      </c>
      <c r="R10" s="20">
        <v>35000000</v>
      </c>
      <c r="S10" s="8">
        <v>-5281995</v>
      </c>
      <c r="T10" s="20">
        <v>34</v>
      </c>
      <c r="U10" s="20">
        <v>78</v>
      </c>
      <c r="V10" s="20"/>
      <c r="W10" s="8">
        <v>-5133909</v>
      </c>
      <c r="X10" s="20" t="s">
        <v>552</v>
      </c>
      <c r="Y10" s="20" t="s">
        <v>553</v>
      </c>
      <c r="Z10" s="20" t="s">
        <v>554</v>
      </c>
      <c r="AA10" s="20"/>
      <c r="AB10" s="1"/>
      <c r="AC10" s="8">
        <v>79815.845140000005</v>
      </c>
      <c r="AD10" s="8">
        <v>-364931.96725530451</v>
      </c>
      <c r="AE10" s="25">
        <v>-1304580.706842345</v>
      </c>
      <c r="AF10" s="8">
        <f>VALUE(SUBSTITUTE(LEFT(Z10, FIND(" ", Z10) - 1), ",", ""))</f>
        <v>-146675</v>
      </c>
      <c r="AG10" s="15">
        <f ca="1">(AF10/YEARFRAC(A10,TODAY())/P10)</f>
        <v>-524.87549825548456</v>
      </c>
      <c r="AI10" s="8">
        <f>VALUE(SUBSTITUTE(LEFT(X10, FIND(" ", X10) - 1), ",", ""))</f>
        <v>285423</v>
      </c>
      <c r="AK10" s="20" t="str">
        <f>IF(AI10&gt;AC10, "YES","")</f>
        <v>YES</v>
      </c>
    </row>
    <row r="11" spans="1:37" hidden="1" x14ac:dyDescent="0.25">
      <c r="A11" s="5">
        <v>45324</v>
      </c>
      <c r="B11" s="1" t="s">
        <v>57</v>
      </c>
      <c r="C11" s="1">
        <v>38</v>
      </c>
      <c r="D11" s="1" t="s">
        <v>43</v>
      </c>
      <c r="E11" s="1" t="s">
        <v>33</v>
      </c>
      <c r="F11" s="1" t="s">
        <v>34</v>
      </c>
      <c r="G11" s="1" t="s">
        <v>58</v>
      </c>
      <c r="H11" s="1">
        <v>41</v>
      </c>
      <c r="I11" s="1" t="s">
        <v>36</v>
      </c>
      <c r="J11" s="1" t="s">
        <v>33</v>
      </c>
      <c r="K11" s="1" t="s">
        <v>37</v>
      </c>
      <c r="L11" s="1" t="s">
        <v>118</v>
      </c>
      <c r="M11" s="1">
        <v>0.66</v>
      </c>
      <c r="N11" s="1">
        <v>-18.399999999999999</v>
      </c>
      <c r="O11" s="1">
        <v>51.1</v>
      </c>
      <c r="P11" s="1">
        <v>2809.9</v>
      </c>
      <c r="Q11" s="8">
        <v>23109651</v>
      </c>
      <c r="R11" s="8">
        <v>35000000</v>
      </c>
      <c r="S11" s="8">
        <v>-5561932</v>
      </c>
      <c r="T11" s="1">
        <v>99</v>
      </c>
      <c r="U11" s="1">
        <v>78</v>
      </c>
      <c r="V11" s="1"/>
      <c r="W11" s="8">
        <v>-5117747</v>
      </c>
      <c r="X11" s="1" t="s">
        <v>606</v>
      </c>
      <c r="Y11" s="1" t="s">
        <v>607</v>
      </c>
      <c r="Z11" s="1" t="s">
        <v>608</v>
      </c>
      <c r="AA11" s="1"/>
      <c r="AB11" s="1"/>
      <c r="AC11" s="14">
        <v>118090.31660999999</v>
      </c>
      <c r="AD11" s="14">
        <v>-445092.08179794659</v>
      </c>
      <c r="AE11" s="25">
        <v>-1273289.354087851</v>
      </c>
      <c r="AF11" s="14">
        <f>VALUE(SUBSTITUTE(LEFT(Z11, FIND(" ", Z11) - 1), ",", ""))</f>
        <v>-201904</v>
      </c>
      <c r="AG11" s="13">
        <f ca="1">(AF11/YEARFRAC(A11,TODAY())/P11)</f>
        <v>-38.782046750211137</v>
      </c>
      <c r="AH11" s="19" t="s">
        <v>1238</v>
      </c>
      <c r="AI11" s="14">
        <f>VALUE(SUBSTITUTE(LEFT(X11, FIND(" ", X11) - 1), ",", ""))</f>
        <v>179394</v>
      </c>
      <c r="AK11" s="20" t="str">
        <f>IF(AI11&gt;AC11, "YES","")</f>
        <v>YES</v>
      </c>
    </row>
    <row r="12" spans="1:37" hidden="1" x14ac:dyDescent="0.25">
      <c r="A12" s="5">
        <v>45562</v>
      </c>
      <c r="B12" s="1" t="s">
        <v>57</v>
      </c>
      <c r="C12" s="1">
        <v>41</v>
      </c>
      <c r="D12" s="1" t="s">
        <v>43</v>
      </c>
      <c r="E12" s="1" t="s">
        <v>33</v>
      </c>
      <c r="F12" s="1" t="s">
        <v>34</v>
      </c>
      <c r="G12" s="1" t="s">
        <v>58</v>
      </c>
      <c r="H12" s="1">
        <v>43</v>
      </c>
      <c r="I12" s="1" t="s">
        <v>43</v>
      </c>
      <c r="J12" s="1" t="s">
        <v>33</v>
      </c>
      <c r="K12" s="1" t="s">
        <v>37</v>
      </c>
      <c r="L12" s="1" t="s">
        <v>118</v>
      </c>
      <c r="M12" s="1">
        <v>2.56</v>
      </c>
      <c r="N12" s="1">
        <v>-23.7</v>
      </c>
      <c r="O12" s="1">
        <v>18.7</v>
      </c>
      <c r="P12" s="1">
        <v>174.8</v>
      </c>
      <c r="Q12" s="1">
        <v>40000000</v>
      </c>
      <c r="R12" s="1">
        <v>15632639</v>
      </c>
      <c r="S12" s="8">
        <v>-1203466</v>
      </c>
      <c r="T12" s="1">
        <v>106</v>
      </c>
      <c r="U12" s="1">
        <v>332</v>
      </c>
      <c r="V12" s="1"/>
      <c r="W12" s="8">
        <v>-1102878</v>
      </c>
      <c r="X12" s="1" t="s">
        <v>517</v>
      </c>
      <c r="Y12" s="1" t="s">
        <v>518</v>
      </c>
      <c r="Z12" s="1" t="s">
        <v>519</v>
      </c>
      <c r="AA12" s="1" t="s">
        <v>42</v>
      </c>
      <c r="AB12" s="1"/>
      <c r="AC12" s="8">
        <v>74800</v>
      </c>
      <c r="AD12" s="8">
        <v>-709237.24645585218</v>
      </c>
      <c r="AE12" s="8">
        <v>-1252489.4987177721</v>
      </c>
      <c r="AF12" s="8">
        <f>VALUE(SUBSTITUTE(LEFT(Z12, FIND(" ", Z12) - 1), ",", ""))</f>
        <v>260446</v>
      </c>
      <c r="AG12" s="15">
        <f ca="1">(AF12/YEARFRAC(A12,TODAY())/P12)</f>
        <v>1241.6380625476736</v>
      </c>
      <c r="AI12" s="8">
        <f>VALUE(SUBSTITUTE(LEFT(X12, FIND(" ", X12) - 1), ",", ""))</f>
        <v>683832</v>
      </c>
      <c r="AK12" s="20" t="str">
        <f>IF(AI12&gt;AC12, "YES","")</f>
        <v>YES</v>
      </c>
    </row>
    <row r="13" spans="1:37" hidden="1" x14ac:dyDescent="0.25">
      <c r="A13" s="5">
        <v>45386</v>
      </c>
      <c r="B13" s="20" t="s">
        <v>44</v>
      </c>
      <c r="C13" s="20">
        <v>40</v>
      </c>
      <c r="D13" s="20" t="s">
        <v>43</v>
      </c>
      <c r="E13" s="20" t="s">
        <v>33</v>
      </c>
      <c r="F13" s="20" t="s">
        <v>34</v>
      </c>
      <c r="G13" s="20" t="s">
        <v>31</v>
      </c>
      <c r="H13" s="20">
        <v>41</v>
      </c>
      <c r="I13" s="20" t="s">
        <v>252</v>
      </c>
      <c r="J13" s="20" t="s">
        <v>33</v>
      </c>
      <c r="K13" s="20" t="s">
        <v>37</v>
      </c>
      <c r="L13" s="20" t="s">
        <v>118</v>
      </c>
      <c r="M13" s="20">
        <v>0.28999999999999998</v>
      </c>
      <c r="N13" s="20">
        <v>-5.7</v>
      </c>
      <c r="O13" s="20">
        <v>12.8</v>
      </c>
      <c r="P13" s="20">
        <v>207.9</v>
      </c>
      <c r="Q13" s="8">
        <v>74571549</v>
      </c>
      <c r="R13" s="8">
        <v>255000000</v>
      </c>
      <c r="S13" s="8">
        <v>-6294088</v>
      </c>
      <c r="T13" s="20">
        <v>49</v>
      </c>
      <c r="U13" s="20">
        <v>16</v>
      </c>
      <c r="V13" s="20"/>
      <c r="W13" s="8">
        <v>-5869425</v>
      </c>
      <c r="X13" s="20" t="s">
        <v>1030</v>
      </c>
      <c r="Y13" s="20" t="s">
        <v>1031</v>
      </c>
      <c r="Z13" s="20" t="s">
        <v>1032</v>
      </c>
      <c r="AA13" s="20"/>
      <c r="AB13" s="1"/>
      <c r="AC13" s="14">
        <v>95451.582720000006</v>
      </c>
      <c r="AD13" s="14">
        <v>-200721.6548607806</v>
      </c>
      <c r="AE13" s="25">
        <v>-1247924.837534168</v>
      </c>
      <c r="AF13" s="14">
        <f>VALUE(SUBSTITUTE(LEFT(Z13, FIND(" ", Z13) - 1), ",", ""))</f>
        <v>-306319</v>
      </c>
      <c r="AG13" s="13">
        <f ca="1">(AF13/YEARFRAC(A13,TODAY())/P13)</f>
        <v>-876.73142284712526</v>
      </c>
      <c r="AH13" s="19" t="s">
        <v>1238</v>
      </c>
      <c r="AI13" s="14">
        <f>VALUE(SUBSTITUTE(LEFT(X13, FIND(" ", X13) - 1), ",", ""))</f>
        <v>168215</v>
      </c>
      <c r="AK13" s="20" t="str">
        <f>IF(AI13&gt;AC13, "YES","")</f>
        <v>YES</v>
      </c>
    </row>
    <row r="14" spans="1:37" hidden="1" x14ac:dyDescent="0.25">
      <c r="A14" s="5">
        <v>45617</v>
      </c>
      <c r="B14" s="1" t="s">
        <v>57</v>
      </c>
      <c r="C14" s="1">
        <v>41</v>
      </c>
      <c r="D14" s="1" t="s">
        <v>43</v>
      </c>
      <c r="E14" s="1" t="s">
        <v>33</v>
      </c>
      <c r="F14" s="1" t="s">
        <v>34</v>
      </c>
      <c r="G14" s="1" t="s">
        <v>58</v>
      </c>
      <c r="H14" s="1">
        <v>43</v>
      </c>
      <c r="I14" s="1" t="s">
        <v>43</v>
      </c>
      <c r="J14" s="1" t="s">
        <v>33</v>
      </c>
      <c r="K14" s="1" t="s">
        <v>37</v>
      </c>
      <c r="L14" s="1" t="s">
        <v>118</v>
      </c>
      <c r="M14" s="1">
        <v>2.4900000000000002</v>
      </c>
      <c r="N14" s="1">
        <v>-22.4</v>
      </c>
      <c r="O14" s="1">
        <v>32.700000000000003</v>
      </c>
      <c r="P14" s="1">
        <v>102.4</v>
      </c>
      <c r="Q14" s="20">
        <v>40000000</v>
      </c>
      <c r="R14" s="20">
        <v>16061141</v>
      </c>
      <c r="S14" s="8">
        <v>-1243839</v>
      </c>
      <c r="T14" s="1">
        <v>98</v>
      </c>
      <c r="U14" s="1">
        <v>301</v>
      </c>
      <c r="V14" s="1"/>
      <c r="W14" s="8">
        <v>-1010295</v>
      </c>
      <c r="X14" s="1" t="s">
        <v>532</v>
      </c>
      <c r="Y14" s="1" t="s">
        <v>533</v>
      </c>
      <c r="Z14" s="1" t="s">
        <v>534</v>
      </c>
      <c r="AA14" s="1" t="s">
        <v>42</v>
      </c>
      <c r="AB14" s="1"/>
      <c r="AC14" s="8">
        <v>130800</v>
      </c>
      <c r="AD14" s="8">
        <v>-660801.74758521561</v>
      </c>
      <c r="AE14" s="8">
        <v>-1167308.46579198</v>
      </c>
      <c r="AF14" s="8">
        <f>VALUE(SUBSTITUTE(LEFT(Z14, FIND(" ", Z14) - 1), ",", ""))</f>
        <v>316188</v>
      </c>
      <c r="AG14" s="15">
        <f ca="1">(AF14/YEARFRAC(A14,TODAY())/P14)</f>
        <v>2940.7366071428569</v>
      </c>
      <c r="AI14" s="8">
        <f>VALUE(SUBSTITUTE(LEFT(X14, FIND(" ", X14) - 1), ",", ""))</f>
        <v>772358</v>
      </c>
      <c r="AK14" s="20" t="str">
        <f>IF(AI14&gt;AC14, "YES","")</f>
        <v>YES</v>
      </c>
    </row>
    <row r="15" spans="1:37" hidden="1" x14ac:dyDescent="0.25">
      <c r="A15" s="5">
        <v>45617</v>
      </c>
      <c r="B15" s="1" t="s">
        <v>44</v>
      </c>
      <c r="C15" s="1">
        <v>42</v>
      </c>
      <c r="D15" s="1" t="s">
        <v>43</v>
      </c>
      <c r="E15" s="1" t="s">
        <v>33</v>
      </c>
      <c r="F15" s="1" t="s">
        <v>34</v>
      </c>
      <c r="G15" s="1" t="s">
        <v>31</v>
      </c>
      <c r="H15" s="1">
        <v>43</v>
      </c>
      <c r="I15" s="1" t="s">
        <v>252</v>
      </c>
      <c r="J15" s="1" t="s">
        <v>33</v>
      </c>
      <c r="K15" s="1" t="s">
        <v>37</v>
      </c>
      <c r="L15" s="1" t="s">
        <v>118</v>
      </c>
      <c r="M15" s="1">
        <v>0.28999999999999998</v>
      </c>
      <c r="N15" s="1">
        <v>-3.8</v>
      </c>
      <c r="O15" s="1">
        <v>11.8</v>
      </c>
      <c r="P15" s="1">
        <v>196.5</v>
      </c>
      <c r="Q15" s="20">
        <v>74360801</v>
      </c>
      <c r="R15" s="20">
        <v>255000000</v>
      </c>
      <c r="S15" s="8">
        <v>-6802230</v>
      </c>
      <c r="T15" s="1">
        <v>56</v>
      </c>
      <c r="U15" s="1">
        <v>17</v>
      </c>
      <c r="V15" s="1"/>
      <c r="W15" s="8">
        <v>-6525204</v>
      </c>
      <c r="X15" s="1" t="s">
        <v>529</v>
      </c>
      <c r="Y15" s="1" t="s">
        <v>530</v>
      </c>
      <c r="Z15" s="1" t="s">
        <v>531</v>
      </c>
      <c r="AA15" s="1"/>
      <c r="AB15" s="1"/>
      <c r="AC15" s="8">
        <v>87745.745179999998</v>
      </c>
      <c r="AD15" s="8">
        <v>-86741.955405886285</v>
      </c>
      <c r="AE15" s="25">
        <v>-1164567.988527732</v>
      </c>
      <c r="AF15" s="8">
        <f>VALUE(SUBSTITUTE(LEFT(Z15, FIND(" ", Z15) - 1), ",", ""))</f>
        <v>62538</v>
      </c>
      <c r="AG15" s="15">
        <f ca="1">(AF15/YEARFRAC(A15,TODAY())/P15)</f>
        <v>303.10432569974557</v>
      </c>
      <c r="AI15" s="8">
        <f>VALUE(SUBSTITUTE(LEFT(X15, FIND(" ", X15) - 1), ",", ""))</f>
        <v>914053</v>
      </c>
      <c r="AK15" s="20" t="str">
        <f>IF(AI15&gt;AC15, "YES","")</f>
        <v>YES</v>
      </c>
    </row>
    <row r="16" spans="1:37" hidden="1" x14ac:dyDescent="0.25">
      <c r="A16" s="5">
        <v>45324</v>
      </c>
      <c r="B16" s="1" t="s">
        <v>44</v>
      </c>
      <c r="C16" s="1">
        <v>38</v>
      </c>
      <c r="D16" s="1" t="s">
        <v>43</v>
      </c>
      <c r="E16" s="1" t="s">
        <v>33</v>
      </c>
      <c r="F16" s="1" t="s">
        <v>34</v>
      </c>
      <c r="G16" s="1" t="s">
        <v>58</v>
      </c>
      <c r="H16" s="1">
        <v>41</v>
      </c>
      <c r="I16" s="1" t="s">
        <v>36</v>
      </c>
      <c r="J16" s="1" t="s">
        <v>33</v>
      </c>
      <c r="K16" s="1" t="s">
        <v>37</v>
      </c>
      <c r="L16" s="1" t="s">
        <v>118</v>
      </c>
      <c r="M16" s="1">
        <v>1.19</v>
      </c>
      <c r="N16" s="1">
        <v>-19.5</v>
      </c>
      <c r="O16" s="1">
        <v>30.3</v>
      </c>
      <c r="P16" s="1">
        <v>920.4</v>
      </c>
      <c r="Q16" s="8">
        <v>41682285</v>
      </c>
      <c r="R16" s="8">
        <v>35000000</v>
      </c>
      <c r="S16" s="8">
        <v>-4754117</v>
      </c>
      <c r="T16" s="1">
        <v>46</v>
      </c>
      <c r="U16" s="1">
        <v>78</v>
      </c>
      <c r="V16" s="1"/>
      <c r="W16" s="8">
        <v>-4309932</v>
      </c>
      <c r="X16" s="1" t="s">
        <v>612</v>
      </c>
      <c r="Y16" s="1" t="s">
        <v>613</v>
      </c>
      <c r="Z16" s="1" t="s">
        <v>614</v>
      </c>
      <c r="AA16" s="1"/>
      <c r="AB16" s="1"/>
      <c r="AC16" s="8">
        <v>126297.32355</v>
      </c>
      <c r="AD16" s="8">
        <v>-588817.33035728952</v>
      </c>
      <c r="AE16" s="25">
        <v>-1126584.6772692669</v>
      </c>
      <c r="AF16" s="8">
        <f>VALUE(SUBSTITUTE(LEFT(Z16, FIND(" ", Z16) - 1), ",", ""))</f>
        <v>-463381</v>
      </c>
      <c r="AG16" s="15">
        <f ca="1">(AF16/YEARFRAC(A16,TODAY())/P16)</f>
        <v>-271.73043204603698</v>
      </c>
      <c r="AH16" s="9" t="s">
        <v>1238</v>
      </c>
      <c r="AI16" s="8">
        <f>VALUE(SUBSTITUTE(LEFT(X16, FIND(" ", X16) - 1), ",", ""))</f>
        <v>-4516</v>
      </c>
      <c r="AK16" s="20" t="str">
        <f>IF(AI16&gt;AC16, "YES","")</f>
        <v/>
      </c>
    </row>
    <row r="17" spans="1:37" hidden="1" x14ac:dyDescent="0.25">
      <c r="A17" s="5">
        <v>45623</v>
      </c>
      <c r="B17" s="1" t="s">
        <v>44</v>
      </c>
      <c r="C17" s="1">
        <v>42</v>
      </c>
      <c r="D17" s="1" t="s">
        <v>43</v>
      </c>
      <c r="E17" s="1" t="s">
        <v>33</v>
      </c>
      <c r="F17" s="1" t="s">
        <v>34</v>
      </c>
      <c r="G17" s="1" t="s">
        <v>31</v>
      </c>
      <c r="H17" s="1">
        <v>43</v>
      </c>
      <c r="I17" s="1" t="s">
        <v>252</v>
      </c>
      <c r="J17" s="1" t="s">
        <v>33</v>
      </c>
      <c r="K17" s="1" t="s">
        <v>37</v>
      </c>
      <c r="L17" s="1" t="s">
        <v>38</v>
      </c>
      <c r="M17" s="1">
        <v>0.28999999999999998</v>
      </c>
      <c r="N17" s="1">
        <v>-2.2999999999999998</v>
      </c>
      <c r="O17" s="1">
        <v>16</v>
      </c>
      <c r="P17" s="1">
        <v>201.9</v>
      </c>
      <c r="Q17" s="20">
        <v>74522720</v>
      </c>
      <c r="R17" s="20">
        <v>255000000</v>
      </c>
      <c r="S17" s="8">
        <v>-6845285</v>
      </c>
      <c r="T17" s="1">
        <v>57</v>
      </c>
      <c r="U17" s="1">
        <v>17</v>
      </c>
      <c r="V17" s="1"/>
      <c r="W17" s="8">
        <v>-6587235</v>
      </c>
      <c r="X17" s="1" t="s">
        <v>886</v>
      </c>
      <c r="Y17" s="1" t="s">
        <v>887</v>
      </c>
      <c r="Z17" s="1" t="s">
        <v>888</v>
      </c>
      <c r="AA17" s="1"/>
      <c r="AB17" s="1"/>
      <c r="AC17" s="8">
        <v>119236.352</v>
      </c>
      <c r="AD17" s="8">
        <v>-44145.645733059377</v>
      </c>
      <c r="AE17" s="8">
        <v>-1122855.8132205771</v>
      </c>
      <c r="AF17" s="8">
        <f>VALUE(SUBSTITUTE(LEFT(Z17, FIND(" ", Z17) - 1), ",", ""))</f>
        <v>104381</v>
      </c>
      <c r="AG17" s="15">
        <f ca="1">(AF17/YEARFRAC(A17,TODAY())/P17)</f>
        <v>500.3163495182859</v>
      </c>
      <c r="AI17" s="8">
        <f>VALUE(SUBSTITUTE(LEFT(X17, FIND(" ", X17) - 1), ",", ""))</f>
        <v>952663</v>
      </c>
      <c r="AK17" s="20" t="str">
        <f>IF(AI17&gt;AC17, "YES","")</f>
        <v>YES</v>
      </c>
    </row>
    <row r="18" spans="1:37" hidden="1" x14ac:dyDescent="0.25">
      <c r="A18" s="5">
        <v>45617</v>
      </c>
      <c r="B18" s="1" t="s">
        <v>57</v>
      </c>
      <c r="C18" s="1">
        <v>40</v>
      </c>
      <c r="D18" s="1" t="s">
        <v>43</v>
      </c>
      <c r="E18" s="1" t="s">
        <v>33</v>
      </c>
      <c r="F18" s="1" t="s">
        <v>34</v>
      </c>
      <c r="G18" s="1" t="s">
        <v>58</v>
      </c>
      <c r="H18" s="1">
        <v>43</v>
      </c>
      <c r="I18" s="1" t="s">
        <v>36</v>
      </c>
      <c r="J18" s="1" t="s">
        <v>33</v>
      </c>
      <c r="K18" s="1" t="s">
        <v>37</v>
      </c>
      <c r="L18" s="1" t="s">
        <v>118</v>
      </c>
      <c r="M18" s="1">
        <v>0.66</v>
      </c>
      <c r="N18" s="1">
        <v>-6.5</v>
      </c>
      <c r="O18" s="1">
        <v>33.200000000000003</v>
      </c>
      <c r="P18" s="1">
        <v>1187.7</v>
      </c>
      <c r="Q18" s="1">
        <v>23253999</v>
      </c>
      <c r="R18" s="1">
        <v>35000000</v>
      </c>
      <c r="S18" s="8">
        <v>-5934765</v>
      </c>
      <c r="T18" s="1">
        <v>86</v>
      </c>
      <c r="U18" s="1">
        <v>61</v>
      </c>
      <c r="V18" s="1"/>
      <c r="W18" s="8">
        <v>-5825524</v>
      </c>
      <c r="X18" s="1" t="s">
        <v>520</v>
      </c>
      <c r="Y18" s="1" t="s">
        <v>521</v>
      </c>
      <c r="Z18" s="1" t="s">
        <v>522</v>
      </c>
      <c r="AA18" s="1"/>
      <c r="AB18" s="1"/>
      <c r="AC18" s="8">
        <v>77203.27668000001</v>
      </c>
      <c r="AD18" s="8">
        <v>-268489.40948391519</v>
      </c>
      <c r="AE18" s="25">
        <v>-1120629.415442616</v>
      </c>
      <c r="AF18" s="8">
        <f>VALUE(SUBSTITUTE(LEFT(Z18, FIND(" ", Z18) - 1), ",", ""))</f>
        <v>-6574</v>
      </c>
      <c r="AG18" s="15">
        <f ca="1">(AF18/YEARFRAC(A18,TODAY())/P18)</f>
        <v>-5.2714931219604111</v>
      </c>
      <c r="AI18" s="8">
        <f>VALUE(SUBSTITUTE(LEFT(X18, FIND(" ", X18) - 1), ",", ""))</f>
        <v>670129</v>
      </c>
      <c r="AK18" s="20" t="str">
        <f>IF(AI18&gt;AC18, "YES","")</f>
        <v>YES</v>
      </c>
    </row>
    <row r="19" spans="1:37" hidden="1" x14ac:dyDescent="0.25">
      <c r="A19" s="5">
        <v>45324</v>
      </c>
      <c r="B19" s="1" t="s">
        <v>31</v>
      </c>
      <c r="C19" s="1">
        <v>39</v>
      </c>
      <c r="D19" s="1" t="s">
        <v>43</v>
      </c>
      <c r="E19" s="1" t="s">
        <v>33</v>
      </c>
      <c r="F19" s="1" t="s">
        <v>34</v>
      </c>
      <c r="G19" s="1" t="s">
        <v>58</v>
      </c>
      <c r="H19" s="1">
        <v>41</v>
      </c>
      <c r="I19" s="1" t="s">
        <v>36</v>
      </c>
      <c r="J19" s="1" t="s">
        <v>33</v>
      </c>
      <c r="K19" s="1" t="s">
        <v>37</v>
      </c>
      <c r="L19" s="1" t="s">
        <v>118</v>
      </c>
      <c r="M19" s="1">
        <v>1.64</v>
      </c>
      <c r="N19" s="1">
        <v>-2.6</v>
      </c>
      <c r="O19" s="1">
        <v>14.2</v>
      </c>
      <c r="P19" s="1">
        <v>6728.5</v>
      </c>
      <c r="Q19" s="8">
        <v>57570327</v>
      </c>
      <c r="R19" s="8">
        <v>35000000</v>
      </c>
      <c r="S19" s="8">
        <v>-4608615</v>
      </c>
      <c r="T19" s="1">
        <v>44</v>
      </c>
      <c r="U19" s="1">
        <v>78</v>
      </c>
      <c r="V19" s="1"/>
      <c r="W19" s="8">
        <v>-4164430</v>
      </c>
      <c r="X19" s="1" t="s">
        <v>603</v>
      </c>
      <c r="Y19" s="1" t="s">
        <v>604</v>
      </c>
      <c r="Z19" s="1" t="s">
        <v>605</v>
      </c>
      <c r="AA19" s="1"/>
      <c r="AB19" s="1"/>
      <c r="AC19" s="8">
        <v>81749.864339999986</v>
      </c>
      <c r="AD19" s="8">
        <v>-349950.78773552371</v>
      </c>
      <c r="AE19" s="25">
        <v>-1092698.9842810109</v>
      </c>
      <c r="AF19" s="8">
        <f>VALUE(SUBSTITUTE(LEFT(Z19, FIND(" ", Z19) - 1), ",", ""))</f>
        <v>-398397</v>
      </c>
      <c r="AG19" s="15">
        <f ca="1">(AF19/YEARFRAC(A19,TODAY())/P19)</f>
        <v>-31.957623031391339</v>
      </c>
      <c r="AH19" s="9" t="s">
        <v>1238</v>
      </c>
      <c r="AI19" s="8">
        <f>VALUE(SUBSTITUTE(LEFT(X19, FIND(" ", X19) - 1), ",", ""))</f>
        <v>-42895</v>
      </c>
      <c r="AK19" s="20" t="str">
        <f>IF(AI19&gt;AC19, "YES","")</f>
        <v/>
      </c>
    </row>
    <row r="20" spans="1:37" hidden="1" x14ac:dyDescent="0.25">
      <c r="A20" s="5">
        <v>45562</v>
      </c>
      <c r="B20" s="1" t="s">
        <v>57</v>
      </c>
      <c r="C20" s="1">
        <v>42</v>
      </c>
      <c r="D20" s="1" t="s">
        <v>43</v>
      </c>
      <c r="E20" s="1" t="s">
        <v>33</v>
      </c>
      <c r="F20" s="1" t="s">
        <v>34</v>
      </c>
      <c r="G20" s="1" t="s">
        <v>58</v>
      </c>
      <c r="H20" s="1">
        <v>43</v>
      </c>
      <c r="I20" s="1" t="s">
        <v>43</v>
      </c>
      <c r="J20" s="1" t="s">
        <v>33</v>
      </c>
      <c r="K20" s="1" t="s">
        <v>37</v>
      </c>
      <c r="L20" s="1" t="s">
        <v>118</v>
      </c>
      <c r="M20" s="1">
        <v>2.56</v>
      </c>
      <c r="N20" s="1">
        <v>-11.6</v>
      </c>
      <c r="O20" s="1">
        <v>16.5</v>
      </c>
      <c r="P20" s="1">
        <v>594.6</v>
      </c>
      <c r="Q20" s="20">
        <v>50000000</v>
      </c>
      <c r="R20" s="20">
        <v>19498689</v>
      </c>
      <c r="S20" s="8">
        <v>-1810758</v>
      </c>
      <c r="T20" s="1">
        <v>118</v>
      </c>
      <c r="U20" s="1">
        <v>332</v>
      </c>
      <c r="V20" s="1"/>
      <c r="W20" s="8">
        <v>-1493103</v>
      </c>
      <c r="X20" s="1" t="s">
        <v>511</v>
      </c>
      <c r="Y20" s="1" t="s">
        <v>512</v>
      </c>
      <c r="Z20" s="1" t="s">
        <v>513</v>
      </c>
      <c r="AA20" s="1" t="s">
        <v>42</v>
      </c>
      <c r="AB20" s="1"/>
      <c r="AC20" s="8">
        <v>82500</v>
      </c>
      <c r="AD20" s="8">
        <v>-299933.92708555801</v>
      </c>
      <c r="AE20" s="8">
        <v>-1066224.9395353959</v>
      </c>
      <c r="AF20" s="8">
        <f>VALUE(SUBSTITUTE(LEFT(Z20, FIND(" ", Z20) - 1), ",", ""))</f>
        <v>528234</v>
      </c>
      <c r="AG20" s="15">
        <f ca="1">(AF20/YEARFRAC(A20,TODAY())/P20)</f>
        <v>740.32122435250585</v>
      </c>
      <c r="AI20" s="8">
        <f>VALUE(SUBSTITUTE(LEFT(X20, FIND(" ", X20) - 1), ",", ""))</f>
        <v>719468</v>
      </c>
      <c r="AK20" s="20" t="str">
        <f>IF(AI20&gt;AC20, "YES","")</f>
        <v>YES</v>
      </c>
    </row>
    <row r="21" spans="1:37" hidden="1" x14ac:dyDescent="0.25">
      <c r="A21" s="5">
        <v>45306</v>
      </c>
      <c r="B21" s="1" t="s">
        <v>57</v>
      </c>
      <c r="C21" s="1">
        <v>39</v>
      </c>
      <c r="D21" s="1" t="s">
        <v>43</v>
      </c>
      <c r="E21" s="1" t="s">
        <v>33</v>
      </c>
      <c r="F21" s="1" t="s">
        <v>34</v>
      </c>
      <c r="G21" s="1" t="s">
        <v>58</v>
      </c>
      <c r="H21" s="1">
        <v>41</v>
      </c>
      <c r="I21" s="1" t="s">
        <v>36</v>
      </c>
      <c r="J21" s="1" t="s">
        <v>33</v>
      </c>
      <c r="K21" s="1" t="s">
        <v>37</v>
      </c>
      <c r="L21" s="1" t="s">
        <v>38</v>
      </c>
      <c r="M21" s="1">
        <v>0.75</v>
      </c>
      <c r="N21" s="1">
        <v>11.3</v>
      </c>
      <c r="O21" s="1">
        <v>41.5</v>
      </c>
      <c r="P21" s="1">
        <v>363.2</v>
      </c>
      <c r="Q21" s="20">
        <v>26217571</v>
      </c>
      <c r="R21" s="20">
        <v>35000000</v>
      </c>
      <c r="S21" s="8">
        <v>-5733472</v>
      </c>
      <c r="T21" s="1">
        <v>117</v>
      </c>
      <c r="U21" s="1">
        <v>79</v>
      </c>
      <c r="V21" s="1"/>
      <c r="W21" s="8">
        <v>-5271093</v>
      </c>
      <c r="X21" s="1" t="s">
        <v>374</v>
      </c>
      <c r="Y21" s="1" t="s">
        <v>375</v>
      </c>
      <c r="Z21" s="1" t="s">
        <v>376</v>
      </c>
      <c r="AA21" s="1" t="s">
        <v>42</v>
      </c>
      <c r="AB21" s="1"/>
      <c r="AC21" s="8">
        <v>108802.91965</v>
      </c>
      <c r="AD21" s="8">
        <v>-4550.7198559890967</v>
      </c>
      <c r="AE21" s="25">
        <v>-1000504.061390684</v>
      </c>
      <c r="AF21" s="8">
        <f>VALUE(SUBSTITUTE(LEFT(Z21, FIND(" ", Z21) - 1), ",", ""))</f>
        <v>127311</v>
      </c>
      <c r="AG21" s="15">
        <f ca="1">(AF21/YEARFRAC(A21,TODAY())/P21)</f>
        <v>184.48730581961513</v>
      </c>
      <c r="AI21" s="8">
        <f>VALUE(SUBSTITUTE(LEFT(X21, FIND(" ", X21) - 1), ",", ""))</f>
        <v>411663</v>
      </c>
      <c r="AK21" s="20" t="str">
        <f>IF(AI21&gt;AC21, "YES","")</f>
        <v>YES</v>
      </c>
    </row>
    <row r="22" spans="1:37" hidden="1" x14ac:dyDescent="0.25">
      <c r="A22" s="5">
        <v>45153</v>
      </c>
      <c r="B22" s="20" t="s">
        <v>44</v>
      </c>
      <c r="C22" s="20">
        <v>38</v>
      </c>
      <c r="D22" s="20" t="s">
        <v>43</v>
      </c>
      <c r="E22" s="20" t="s">
        <v>33</v>
      </c>
      <c r="F22" s="20" t="s">
        <v>34</v>
      </c>
      <c r="G22" s="20" t="s">
        <v>31</v>
      </c>
      <c r="H22" s="20">
        <v>39</v>
      </c>
      <c r="I22" s="20" t="s">
        <v>252</v>
      </c>
      <c r="J22" s="20" t="s">
        <v>33</v>
      </c>
      <c r="K22" s="20" t="s">
        <v>37</v>
      </c>
      <c r="L22" s="20" t="s">
        <v>38</v>
      </c>
      <c r="M22" s="20">
        <v>0.28999999999999998</v>
      </c>
      <c r="N22" s="20">
        <v>-2.2000000000000002</v>
      </c>
      <c r="O22" s="20">
        <v>21.4</v>
      </c>
      <c r="P22" s="20">
        <v>105.8</v>
      </c>
      <c r="Q22" s="20">
        <v>73594490</v>
      </c>
      <c r="R22" s="20">
        <v>255000000</v>
      </c>
      <c r="S22" s="8">
        <v>-5948853</v>
      </c>
      <c r="T22" s="20">
        <v>66</v>
      </c>
      <c r="U22" s="20">
        <v>19</v>
      </c>
      <c r="V22" s="20"/>
      <c r="W22" s="8">
        <v>-4986772</v>
      </c>
      <c r="X22" s="20" t="s">
        <v>344</v>
      </c>
      <c r="Y22" s="20" t="s">
        <v>345</v>
      </c>
      <c r="Z22" s="20" t="s">
        <v>346</v>
      </c>
      <c r="AA22" s="20"/>
      <c r="AB22" s="1"/>
      <c r="AC22" s="8">
        <v>157492.20860000001</v>
      </c>
      <c r="AD22" s="8">
        <v>5320.0021683778614</v>
      </c>
      <c r="AE22" s="25">
        <v>-993001.4770804994</v>
      </c>
      <c r="AF22" s="8">
        <f>VALUE(SUBSTITUTE(LEFT(Z22, FIND(" ", Z22) - 1), ",", ""))</f>
        <v>-52355</v>
      </c>
      <c r="AG22" s="15">
        <f ca="1">(AF22/YEARFRAC(A22,TODAY())/P22)</f>
        <v>-213.60378615821898</v>
      </c>
      <c r="AI22" s="8">
        <f>VALUE(SUBSTITUTE(LEFT(X22, FIND(" ", X22) - 1), ",", ""))</f>
        <v>350769</v>
      </c>
      <c r="AK22" s="20" t="str">
        <f>IF(AI22&gt;AC22, "YES","")</f>
        <v>YES</v>
      </c>
    </row>
    <row r="23" spans="1:37" hidden="1" x14ac:dyDescent="0.25">
      <c r="A23" s="5">
        <v>45617</v>
      </c>
      <c r="B23" s="1" t="s">
        <v>57</v>
      </c>
      <c r="C23" s="1">
        <v>42</v>
      </c>
      <c r="D23" s="1" t="s">
        <v>43</v>
      </c>
      <c r="E23" s="1" t="s">
        <v>33</v>
      </c>
      <c r="F23" s="1" t="s">
        <v>34</v>
      </c>
      <c r="G23" s="1" t="s">
        <v>58</v>
      </c>
      <c r="H23" s="1">
        <v>43</v>
      </c>
      <c r="I23" s="1" t="s">
        <v>43</v>
      </c>
      <c r="J23" s="1" t="s">
        <v>33</v>
      </c>
      <c r="K23" s="1" t="s">
        <v>37</v>
      </c>
      <c r="L23" s="1" t="s">
        <v>118</v>
      </c>
      <c r="M23" s="1">
        <v>2.5499999999999998</v>
      </c>
      <c r="N23" s="1">
        <v>-8</v>
      </c>
      <c r="O23" s="1">
        <v>28.9</v>
      </c>
      <c r="P23" s="1">
        <v>484.3</v>
      </c>
      <c r="Q23" s="20">
        <v>50000000</v>
      </c>
      <c r="R23" s="20">
        <v>19600498</v>
      </c>
      <c r="S23" s="8">
        <v>-1791008</v>
      </c>
      <c r="T23" s="1">
        <v>110</v>
      </c>
      <c r="U23" s="1">
        <v>301</v>
      </c>
      <c r="V23" s="1"/>
      <c r="W23" s="8">
        <v>-1288992</v>
      </c>
      <c r="X23" s="1" t="s">
        <v>523</v>
      </c>
      <c r="Y23" s="1" t="s">
        <v>524</v>
      </c>
      <c r="Z23" s="1" t="s">
        <v>525</v>
      </c>
      <c r="AA23" s="1" t="s">
        <v>42</v>
      </c>
      <c r="AB23" s="1"/>
      <c r="AC23" s="8">
        <v>144500</v>
      </c>
      <c r="AD23" s="8">
        <v>-203021.50877207419</v>
      </c>
      <c r="AE23" s="8">
        <v>-953484.79705483583</v>
      </c>
      <c r="AF23" s="8">
        <f>VALUE(SUBSTITUTE(LEFT(Z23, FIND(" ", Z23) - 1), ",", ""))</f>
        <v>573056</v>
      </c>
      <c r="AG23" s="15">
        <f ca="1">(AF23/YEARFRAC(A23,TODAY())/P23)</f>
        <v>1126.920543150153</v>
      </c>
      <c r="AI23" s="8">
        <f>VALUE(SUBSTITUTE(LEFT(X23, FIND(" ", X23) - 1), ",", ""))</f>
        <v>775108</v>
      </c>
      <c r="AK23" s="20" t="str">
        <f>IF(AI23&gt;AC23, "YES","")</f>
        <v>YES</v>
      </c>
    </row>
    <row r="24" spans="1:37" hidden="1" x14ac:dyDescent="0.25">
      <c r="A24" s="5">
        <v>45447</v>
      </c>
      <c r="B24" s="1" t="s">
        <v>58</v>
      </c>
      <c r="C24" s="1">
        <v>41</v>
      </c>
      <c r="D24" s="1" t="s">
        <v>36</v>
      </c>
      <c r="E24" s="1" t="s">
        <v>33</v>
      </c>
      <c r="F24" s="1" t="s">
        <v>37</v>
      </c>
      <c r="G24" s="1" t="s">
        <v>31</v>
      </c>
      <c r="H24" s="1">
        <v>39</v>
      </c>
      <c r="I24" s="1" t="s">
        <v>43</v>
      </c>
      <c r="J24" s="1" t="s">
        <v>33</v>
      </c>
      <c r="K24" s="1" t="s">
        <v>34</v>
      </c>
      <c r="L24" s="1" t="s">
        <v>38</v>
      </c>
      <c r="M24" s="1">
        <v>0.53</v>
      </c>
      <c r="N24" s="1">
        <v>12.9</v>
      </c>
      <c r="O24" s="1">
        <v>24.1</v>
      </c>
      <c r="P24" s="1">
        <v>46</v>
      </c>
      <c r="Q24" s="20">
        <v>35000000</v>
      </c>
      <c r="R24" s="20">
        <v>65706934</v>
      </c>
      <c r="S24" s="8">
        <v>-4324099</v>
      </c>
      <c r="T24" s="1">
        <v>58</v>
      </c>
      <c r="U24" s="1">
        <v>35</v>
      </c>
      <c r="V24" s="1"/>
      <c r="W24" s="8">
        <v>-4153858</v>
      </c>
      <c r="X24" s="1" t="s">
        <v>716</v>
      </c>
      <c r="Y24" s="1" t="s">
        <v>717</v>
      </c>
      <c r="Z24" s="1" t="s">
        <v>718</v>
      </c>
      <c r="AA24" s="1" t="s">
        <v>42</v>
      </c>
      <c r="AB24" s="1"/>
      <c r="AC24" s="8">
        <v>84350.000000000015</v>
      </c>
      <c r="AD24" s="8">
        <v>-107852.9662258726</v>
      </c>
      <c r="AE24" s="8">
        <v>-921623.34830128017</v>
      </c>
      <c r="AF24" s="8">
        <f>VALUE(SUBSTITUTE(LEFT(Z24, FIND(" ", Z24) - 1), ",", ""))</f>
        <v>498873</v>
      </c>
      <c r="AG24" s="15">
        <f ca="1">(AF24/YEARFRAC(A24,TODAY())/P24)</f>
        <v>7163.7128041483847</v>
      </c>
      <c r="AI24" s="8">
        <f>VALUE(SUBSTITUTE(LEFT(X24, FIND(" ", X24) - 1), ",", ""))</f>
        <v>498873</v>
      </c>
      <c r="AK24" s="20" t="str">
        <f>IF(AI24&gt;AC24, "YES","")</f>
        <v>YES</v>
      </c>
    </row>
    <row r="25" spans="1:37" hidden="1" x14ac:dyDescent="0.25">
      <c r="A25" s="5">
        <v>45324</v>
      </c>
      <c r="B25" s="1" t="s">
        <v>44</v>
      </c>
      <c r="C25" s="1">
        <v>39</v>
      </c>
      <c r="D25" s="1" t="s">
        <v>43</v>
      </c>
      <c r="E25" s="1" t="s">
        <v>33</v>
      </c>
      <c r="F25" s="1" t="s">
        <v>34</v>
      </c>
      <c r="G25" s="1" t="s">
        <v>58</v>
      </c>
      <c r="H25" s="1">
        <v>41</v>
      </c>
      <c r="I25" s="1" t="s">
        <v>36</v>
      </c>
      <c r="J25" s="1" t="s">
        <v>33</v>
      </c>
      <c r="K25" s="1" t="s">
        <v>37</v>
      </c>
      <c r="L25" s="1" t="s">
        <v>118</v>
      </c>
      <c r="M25" s="1">
        <v>1.31</v>
      </c>
      <c r="N25" s="1">
        <v>-7.3</v>
      </c>
      <c r="O25" s="1">
        <v>19.7</v>
      </c>
      <c r="P25" s="1">
        <v>2192.4</v>
      </c>
      <c r="Q25" s="8">
        <v>45921008</v>
      </c>
      <c r="R25" s="8">
        <v>35000000</v>
      </c>
      <c r="S25" s="8">
        <v>-4673235</v>
      </c>
      <c r="T25" s="1">
        <v>52</v>
      </c>
      <c r="U25" s="1">
        <v>78</v>
      </c>
      <c r="V25" s="1"/>
      <c r="W25" s="8">
        <v>-4229050</v>
      </c>
      <c r="X25" s="1" t="s">
        <v>609</v>
      </c>
      <c r="Y25" s="1" t="s">
        <v>610</v>
      </c>
      <c r="Z25" s="1" t="s">
        <v>611</v>
      </c>
      <c r="AA25" s="1"/>
      <c r="AB25" s="1"/>
      <c r="AC25" s="8">
        <v>90464.385760000005</v>
      </c>
      <c r="AD25" s="8">
        <v>-286642.61037645472</v>
      </c>
      <c r="AE25" s="25">
        <v>-911607.89406494226</v>
      </c>
      <c r="AF25" s="8">
        <f>VALUE(SUBSTITUTE(LEFT(Z25, FIND(" ", Z25) - 1), ",", ""))</f>
        <v>-313967</v>
      </c>
      <c r="AG25" s="15">
        <f ca="1">(AF25/YEARFRAC(A25,TODAY())/P25)</f>
        <v>-77.293126835596965</v>
      </c>
      <c r="AH25" s="9" t="s">
        <v>1238</v>
      </c>
      <c r="AI25" s="8">
        <f>VALUE(SUBSTITUTE(LEFT(X25, FIND(" ", X25) - 1), ",", ""))</f>
        <v>-3574</v>
      </c>
      <c r="AK25" s="20" t="str">
        <f>IF(AI25&gt;AC25, "YES","")</f>
        <v/>
      </c>
    </row>
    <row r="26" spans="1:37" hidden="1" x14ac:dyDescent="0.25">
      <c r="A26" s="5">
        <v>45468</v>
      </c>
      <c r="B26" s="1" t="s">
        <v>58</v>
      </c>
      <c r="C26" s="1">
        <v>41</v>
      </c>
      <c r="D26" s="1" t="s">
        <v>36</v>
      </c>
      <c r="E26" s="1" t="s">
        <v>33</v>
      </c>
      <c r="F26" s="1" t="s">
        <v>37</v>
      </c>
      <c r="G26" s="1" t="s">
        <v>31</v>
      </c>
      <c r="H26" s="1">
        <v>39</v>
      </c>
      <c r="I26" s="1" t="s">
        <v>43</v>
      </c>
      <c r="J26" s="1" t="s">
        <v>33</v>
      </c>
      <c r="K26" s="1" t="s">
        <v>34</v>
      </c>
      <c r="L26" s="1" t="s">
        <v>38</v>
      </c>
      <c r="M26" s="1">
        <v>0.54</v>
      </c>
      <c r="N26" s="1">
        <v>15.3</v>
      </c>
      <c r="O26" s="1">
        <v>31.9</v>
      </c>
      <c r="P26" s="1">
        <v>44.4</v>
      </c>
      <c r="Q26" s="20">
        <v>35000000</v>
      </c>
      <c r="R26" s="20">
        <v>64720901</v>
      </c>
      <c r="S26" s="8">
        <v>-4386660</v>
      </c>
      <c r="T26" s="1">
        <v>61</v>
      </c>
      <c r="U26" s="1">
        <v>38</v>
      </c>
      <c r="V26" s="1"/>
      <c r="W26" s="8">
        <v>-4176362</v>
      </c>
      <c r="X26" s="1" t="s">
        <v>460</v>
      </c>
      <c r="Y26" s="1" t="s">
        <v>461</v>
      </c>
      <c r="Z26" s="1" t="s">
        <v>462</v>
      </c>
      <c r="AA26" s="1" t="s">
        <v>42</v>
      </c>
      <c r="AB26" s="1"/>
      <c r="AC26" s="8">
        <v>111650</v>
      </c>
      <c r="AD26" s="8">
        <v>-100877.7919304587</v>
      </c>
      <c r="AE26" s="8">
        <v>-896488.7239071395</v>
      </c>
      <c r="AF26" s="8">
        <f>VALUE(SUBSTITUTE(LEFT(Z26, FIND(" ", Z26) - 1), ",", ""))</f>
        <v>485013</v>
      </c>
      <c r="AG26" s="15">
        <f ca="1">(AF26/YEARFRAC(A26,TODAY())/P26)</f>
        <v>7504.8432019806069</v>
      </c>
      <c r="AI26" s="8">
        <f>VALUE(SUBSTITUTE(LEFT(X26, FIND(" ", X26) - 1), ",", ""))</f>
        <v>485013</v>
      </c>
      <c r="AK26" s="20" t="str">
        <f>IF(AI26&gt;AC26, "YES","")</f>
        <v>YES</v>
      </c>
    </row>
    <row r="27" spans="1:37" hidden="1" x14ac:dyDescent="0.25">
      <c r="A27" s="5">
        <v>45511</v>
      </c>
      <c r="B27" s="1" t="s">
        <v>58</v>
      </c>
      <c r="C27" s="1">
        <v>41</v>
      </c>
      <c r="D27" s="1" t="s">
        <v>36</v>
      </c>
      <c r="E27" s="1" t="s">
        <v>33</v>
      </c>
      <c r="F27" s="1" t="s">
        <v>37</v>
      </c>
      <c r="G27" s="1" t="s">
        <v>31</v>
      </c>
      <c r="H27" s="1">
        <v>39</v>
      </c>
      <c r="I27" s="1" t="s">
        <v>43</v>
      </c>
      <c r="J27" s="1" t="s">
        <v>33</v>
      </c>
      <c r="K27" s="1" t="s">
        <v>34</v>
      </c>
      <c r="L27" s="1" t="s">
        <v>38</v>
      </c>
      <c r="M27" s="1">
        <v>0.55000000000000004</v>
      </c>
      <c r="N27" s="1">
        <v>15.3</v>
      </c>
      <c r="O27" s="1">
        <v>23</v>
      </c>
      <c r="P27" s="1">
        <v>161.69999999999999</v>
      </c>
      <c r="Q27" s="20">
        <v>35000000</v>
      </c>
      <c r="R27" s="20">
        <v>63203343</v>
      </c>
      <c r="S27" s="8">
        <v>-4157218</v>
      </c>
      <c r="T27" s="1">
        <v>71</v>
      </c>
      <c r="U27" s="1">
        <v>45</v>
      </c>
      <c r="V27" s="1"/>
      <c r="W27" s="8">
        <v>-3802097</v>
      </c>
      <c r="X27" s="1" t="s">
        <v>828</v>
      </c>
      <c r="Y27" s="1" t="s">
        <v>829</v>
      </c>
      <c r="Z27" s="1" t="s">
        <v>830</v>
      </c>
      <c r="AA27" s="1" t="s">
        <v>42</v>
      </c>
      <c r="AB27" s="1"/>
      <c r="AC27" s="8">
        <v>80500</v>
      </c>
      <c r="AD27" s="8">
        <v>-128064.3298973307</v>
      </c>
      <c r="AE27" s="8">
        <v>-892900.89972076402</v>
      </c>
      <c r="AF27" s="8">
        <f>VALUE(SUBSTITUTE(LEFT(Z27, FIND(" ", Z27) - 1), ",", ""))</f>
        <v>383068</v>
      </c>
      <c r="AG27" s="15">
        <f ca="1">(AF27/YEARFRAC(A27,TODAY())/P27)</f>
        <v>1769.3808266422377</v>
      </c>
      <c r="AI27" s="8">
        <f>VALUE(SUBSTITUTE(LEFT(X27, FIND(" ", X27) - 1), ",", ""))</f>
        <v>383068</v>
      </c>
      <c r="AK27" s="20" t="str">
        <f>IF(AI27&gt;AC27, "YES","")</f>
        <v>YES</v>
      </c>
    </row>
    <row r="28" spans="1:37" hidden="1" x14ac:dyDescent="0.25">
      <c r="A28" s="5">
        <v>45373</v>
      </c>
      <c r="B28" s="20" t="s">
        <v>58</v>
      </c>
      <c r="C28" s="20">
        <v>41</v>
      </c>
      <c r="D28" s="20" t="s">
        <v>36</v>
      </c>
      <c r="E28" s="20" t="s">
        <v>33</v>
      </c>
      <c r="F28" s="20" t="s">
        <v>37</v>
      </c>
      <c r="G28" s="20" t="s">
        <v>35</v>
      </c>
      <c r="H28" s="20">
        <v>39</v>
      </c>
      <c r="I28" s="20" t="s">
        <v>43</v>
      </c>
      <c r="J28" s="20" t="s">
        <v>33</v>
      </c>
      <c r="K28" s="20" t="s">
        <v>34</v>
      </c>
      <c r="L28" s="20" t="s">
        <v>38</v>
      </c>
      <c r="M28" s="20">
        <v>3.36</v>
      </c>
      <c r="N28" s="20">
        <v>9.1</v>
      </c>
      <c r="O28" s="20">
        <v>43.6</v>
      </c>
      <c r="P28" s="20">
        <v>97.5</v>
      </c>
      <c r="Q28" s="20">
        <v>35000000</v>
      </c>
      <c r="R28" s="20">
        <v>10417305</v>
      </c>
      <c r="S28" s="8">
        <v>-4611372</v>
      </c>
      <c r="T28" s="20">
        <v>67</v>
      </c>
      <c r="U28" s="20">
        <v>242</v>
      </c>
      <c r="V28" s="20"/>
      <c r="W28" s="8">
        <v>-4332750</v>
      </c>
      <c r="X28" s="20" t="s">
        <v>648</v>
      </c>
      <c r="Y28" s="20" t="s">
        <v>649</v>
      </c>
      <c r="Z28" s="20" t="s">
        <v>650</v>
      </c>
      <c r="AA28" s="20" t="s">
        <v>42</v>
      </c>
      <c r="AB28" s="1"/>
      <c r="AC28" s="8">
        <v>152600</v>
      </c>
      <c r="AD28" s="8">
        <v>-42759.1804763861</v>
      </c>
      <c r="AE28" s="8">
        <v>-871608.6164932797</v>
      </c>
      <c r="AF28" s="8">
        <f>VALUE(SUBSTITUTE(LEFT(Z28, FIND(" ", Z28) - 1), ",", ""))</f>
        <v>609510</v>
      </c>
      <c r="AG28" s="15">
        <f ca="1">(AF28/YEARFRAC(A28,TODAY())/P28)</f>
        <v>3647.4853509537465</v>
      </c>
      <c r="AI28" s="8">
        <f>VALUE(SUBSTITUTE(LEFT(X28, FIND(" ", X28) - 1), ",", ""))</f>
        <v>635346</v>
      </c>
      <c r="AK28" s="20" t="str">
        <f>IF(AI28&gt;AC28, "YES","")</f>
        <v>YES</v>
      </c>
    </row>
    <row r="29" spans="1:37" hidden="1" x14ac:dyDescent="0.25">
      <c r="A29" s="5">
        <v>45386</v>
      </c>
      <c r="B29" s="1" t="s">
        <v>31</v>
      </c>
      <c r="C29" s="1">
        <v>40</v>
      </c>
      <c r="D29" s="1" t="s">
        <v>43</v>
      </c>
      <c r="E29" s="1" t="s">
        <v>33</v>
      </c>
      <c r="F29" s="1" t="s">
        <v>34</v>
      </c>
      <c r="G29" s="1" t="s">
        <v>58</v>
      </c>
      <c r="H29" s="1">
        <v>41</v>
      </c>
      <c r="I29" s="1" t="s">
        <v>36</v>
      </c>
      <c r="J29" s="1" t="s">
        <v>33</v>
      </c>
      <c r="K29" s="1" t="s">
        <v>37</v>
      </c>
      <c r="L29" s="1" t="s">
        <v>38</v>
      </c>
      <c r="M29" s="1">
        <v>1.64</v>
      </c>
      <c r="N29" s="1">
        <v>1.3</v>
      </c>
      <c r="O29" s="1">
        <v>11</v>
      </c>
      <c r="P29" s="1">
        <v>166</v>
      </c>
      <c r="Q29" s="8">
        <v>57275353</v>
      </c>
      <c r="R29" s="8">
        <v>35000000</v>
      </c>
      <c r="S29" s="8">
        <v>-4553900</v>
      </c>
      <c r="T29" s="1">
        <v>41</v>
      </c>
      <c r="U29" s="1">
        <v>65</v>
      </c>
      <c r="V29" s="1"/>
      <c r="W29" s="8">
        <v>-4301888</v>
      </c>
      <c r="X29" s="1" t="s">
        <v>1033</v>
      </c>
      <c r="Y29" s="1" t="s">
        <v>1034</v>
      </c>
      <c r="Z29" s="1" t="s">
        <v>1035</v>
      </c>
      <c r="AA29" s="1"/>
      <c r="AB29" s="1"/>
      <c r="AC29" s="8">
        <v>63002.888300000013</v>
      </c>
      <c r="AD29" s="8">
        <v>-83122.735256947228</v>
      </c>
      <c r="AE29" s="25">
        <v>-849306.95717181964</v>
      </c>
      <c r="AF29" s="8">
        <f>VALUE(SUBSTITUTE(LEFT(Z29, FIND(" ", Z29) - 1), ",", ""))</f>
        <v>-247544</v>
      </c>
      <c r="AG29" s="15">
        <f ca="1">(AF29/YEARFRAC(A29,TODAY())/P29)</f>
        <v>-887.34282584884988</v>
      </c>
      <c r="AH29" s="9" t="s">
        <v>1238</v>
      </c>
      <c r="AI29" s="8">
        <f>VALUE(SUBSTITUTE(LEFT(X29, FIND(" ", X29) - 1), ",", ""))</f>
        <v>49087</v>
      </c>
      <c r="AK29" s="20" t="str">
        <f>IF(AI29&gt;AC29, "YES","")</f>
        <v/>
      </c>
    </row>
    <row r="30" spans="1:37" hidden="1" x14ac:dyDescent="0.25">
      <c r="A30" s="5">
        <v>45373</v>
      </c>
      <c r="B30" s="1" t="s">
        <v>57</v>
      </c>
      <c r="C30" s="1">
        <v>39</v>
      </c>
      <c r="D30" s="1" t="s">
        <v>43</v>
      </c>
      <c r="E30" s="1" t="s">
        <v>33</v>
      </c>
      <c r="F30" s="1" t="s">
        <v>34</v>
      </c>
      <c r="G30" s="1" t="s">
        <v>58</v>
      </c>
      <c r="H30" s="1">
        <v>41</v>
      </c>
      <c r="I30" s="1" t="s">
        <v>68</v>
      </c>
      <c r="J30" s="1" t="s">
        <v>33</v>
      </c>
      <c r="K30" s="1" t="s">
        <v>37</v>
      </c>
      <c r="L30" s="1" t="s">
        <v>38</v>
      </c>
      <c r="M30" s="1">
        <v>5.57</v>
      </c>
      <c r="N30" s="1">
        <v>20.100000000000001</v>
      </c>
      <c r="O30" s="1">
        <v>21.3</v>
      </c>
      <c r="P30" s="1">
        <v>52.4</v>
      </c>
      <c r="Q30" s="20">
        <v>25000000</v>
      </c>
      <c r="R30" s="20">
        <v>4490048</v>
      </c>
      <c r="S30" s="8">
        <v>-97563</v>
      </c>
      <c r="T30" s="1">
        <v>92</v>
      </c>
      <c r="U30" s="1">
        <v>402</v>
      </c>
      <c r="V30" s="1"/>
      <c r="W30" s="8">
        <v>-12088</v>
      </c>
      <c r="X30" s="1" t="s">
        <v>651</v>
      </c>
      <c r="Y30" s="1" t="s">
        <v>652</v>
      </c>
      <c r="Z30" s="1" t="s">
        <v>653</v>
      </c>
      <c r="AA30" s="1" t="s">
        <v>654</v>
      </c>
      <c r="AB30" s="1"/>
      <c r="AC30" s="8">
        <v>53250</v>
      </c>
      <c r="AD30" s="8">
        <v>119762.14120082129</v>
      </c>
      <c r="AE30" s="8">
        <v>-812636.33693944348</v>
      </c>
      <c r="AF30" s="8">
        <f>VALUE(SUBSTITUTE(LEFT(Z30, FIND(" ", Z30) - 1), ",", ""))</f>
        <v>95711</v>
      </c>
      <c r="AG30" s="15">
        <f ca="1">(AF30/YEARFRAC(A30,TODAY())/P30)</f>
        <v>1065.7317480544868</v>
      </c>
      <c r="AI30" s="8">
        <f>VALUE(SUBSTITUTE(LEFT(X30, FIND(" ", X30) - 1), ",", ""))</f>
        <v>426829</v>
      </c>
      <c r="AK30" s="20" t="str">
        <f>IF(AI30&gt;AC30, "YES","")</f>
        <v>YES</v>
      </c>
    </row>
    <row r="31" spans="1:37" hidden="1" x14ac:dyDescent="0.25">
      <c r="A31" s="5">
        <v>45306</v>
      </c>
      <c r="B31" s="1" t="s">
        <v>58</v>
      </c>
      <c r="C31" s="1">
        <v>41</v>
      </c>
      <c r="D31" s="1" t="s">
        <v>36</v>
      </c>
      <c r="E31" s="1" t="s">
        <v>33</v>
      </c>
      <c r="F31" s="1" t="s">
        <v>37</v>
      </c>
      <c r="G31" s="1" t="s">
        <v>44</v>
      </c>
      <c r="H31" s="1">
        <v>39</v>
      </c>
      <c r="I31" s="1" t="s">
        <v>43</v>
      </c>
      <c r="J31" s="1" t="s">
        <v>33</v>
      </c>
      <c r="K31" s="1" t="s">
        <v>34</v>
      </c>
      <c r="L31" s="1" t="s">
        <v>38</v>
      </c>
      <c r="M31" s="1">
        <v>0.63</v>
      </c>
      <c r="N31" s="1">
        <v>10.4</v>
      </c>
      <c r="O31" s="1">
        <v>23.3</v>
      </c>
      <c r="P31" s="1">
        <v>262.10000000000002</v>
      </c>
      <c r="Q31" s="20">
        <v>35000000</v>
      </c>
      <c r="R31" s="20">
        <v>55161813</v>
      </c>
      <c r="S31" s="8">
        <v>-4524497</v>
      </c>
      <c r="T31" s="1">
        <v>79</v>
      </c>
      <c r="U31" s="1">
        <v>54</v>
      </c>
      <c r="V31" s="1"/>
      <c r="W31" s="8">
        <v>-4062118</v>
      </c>
      <c r="X31" s="1" t="s">
        <v>377</v>
      </c>
      <c r="Y31" s="1" t="s">
        <v>378</v>
      </c>
      <c r="Z31" s="1" t="s">
        <v>379</v>
      </c>
      <c r="AA31" s="1" t="s">
        <v>42</v>
      </c>
      <c r="AB31" s="1"/>
      <c r="AC31" s="8">
        <v>81550</v>
      </c>
      <c r="AD31" s="8">
        <v>-43851.355116769439</v>
      </c>
      <c r="AE31" s="8">
        <v>-798226.85060742008</v>
      </c>
      <c r="AF31" s="8">
        <f>VALUE(SUBSTITUTE(LEFT(Z31, FIND(" ", Z31) - 1), ",", ""))</f>
        <v>759506</v>
      </c>
      <c r="AG31" s="15">
        <f ca="1">(AF31/YEARFRAC(A31,TODAY())/P31)</f>
        <v>1525.1430751621517</v>
      </c>
      <c r="AI31" s="8">
        <f>VALUE(SUBSTITUTE(LEFT(X31, FIND(" ", X31) - 1), ",", ""))</f>
        <v>782962</v>
      </c>
      <c r="AK31" s="20" t="str">
        <f>IF(AI31&gt;AC31, "YES","")</f>
        <v>YES</v>
      </c>
    </row>
    <row r="32" spans="1:37" hidden="1" x14ac:dyDescent="0.25">
      <c r="A32" s="5">
        <v>45373</v>
      </c>
      <c r="B32" s="20" t="s">
        <v>58</v>
      </c>
      <c r="C32" s="20">
        <v>41</v>
      </c>
      <c r="D32" s="20" t="s">
        <v>36</v>
      </c>
      <c r="E32" s="20" t="s">
        <v>33</v>
      </c>
      <c r="F32" s="20" t="s">
        <v>37</v>
      </c>
      <c r="G32" s="20" t="s">
        <v>44</v>
      </c>
      <c r="H32" s="20">
        <v>39</v>
      </c>
      <c r="I32" s="20" t="s">
        <v>43</v>
      </c>
      <c r="J32" s="20" t="s">
        <v>33</v>
      </c>
      <c r="K32" s="20" t="s">
        <v>34</v>
      </c>
      <c r="L32" s="20" t="s">
        <v>38</v>
      </c>
      <c r="M32" s="20">
        <v>0.65</v>
      </c>
      <c r="N32" s="20">
        <v>7.6</v>
      </c>
      <c r="O32" s="20">
        <v>17.8</v>
      </c>
      <c r="P32" s="20">
        <v>263.5</v>
      </c>
      <c r="Q32" s="20">
        <v>35000000</v>
      </c>
      <c r="R32" s="20">
        <v>53560502</v>
      </c>
      <c r="S32" s="8">
        <v>-4529051</v>
      </c>
      <c r="T32" s="20">
        <v>67</v>
      </c>
      <c r="U32" s="20">
        <v>46</v>
      </c>
      <c r="V32" s="20"/>
      <c r="W32" s="8">
        <v>-4250428</v>
      </c>
      <c r="X32" s="20" t="s">
        <v>638</v>
      </c>
      <c r="Y32" s="20" t="s">
        <v>639</v>
      </c>
      <c r="Z32" s="20" t="s">
        <v>640</v>
      </c>
      <c r="AA32" s="20" t="s">
        <v>42</v>
      </c>
      <c r="AB32" s="1"/>
      <c r="AC32" s="8">
        <v>62300.000000000007</v>
      </c>
      <c r="AD32" s="8">
        <v>-67050.629516221932</v>
      </c>
      <c r="AE32" s="8">
        <v>-786182.74948271387</v>
      </c>
      <c r="AF32" s="8">
        <f>VALUE(SUBSTITUTE(LEFT(Z32, FIND(" ", Z32) - 1), ",", ""))</f>
        <v>652925</v>
      </c>
      <c r="AG32" s="15">
        <f ca="1">(AF32/YEARFRAC(A32,TODAY())/P32)</f>
        <v>1445.7726835179099</v>
      </c>
      <c r="AI32" s="8">
        <f>VALUE(SUBSTITUTE(LEFT(X32, FIND(" ", X32) - 1), ",", ""))</f>
        <v>675223</v>
      </c>
      <c r="AK32" s="20" t="str">
        <f>IF(AI32&gt;AC32, "YES","")</f>
        <v>YES</v>
      </c>
    </row>
    <row r="33" spans="1:37" hidden="1" x14ac:dyDescent="0.25">
      <c r="A33" s="5">
        <v>45398</v>
      </c>
      <c r="B33" s="1" t="s">
        <v>35</v>
      </c>
      <c r="C33" s="1">
        <v>39</v>
      </c>
      <c r="D33" s="1" t="s">
        <v>43</v>
      </c>
      <c r="E33" s="1" t="s">
        <v>33</v>
      </c>
      <c r="F33" s="1" t="s">
        <v>34</v>
      </c>
      <c r="G33" s="1" t="s">
        <v>58</v>
      </c>
      <c r="H33" s="1">
        <v>41</v>
      </c>
      <c r="I33" s="1" t="s">
        <v>36</v>
      </c>
      <c r="J33" s="1" t="s">
        <v>33</v>
      </c>
      <c r="K33" s="1" t="s">
        <v>37</v>
      </c>
      <c r="L33" s="1" t="s">
        <v>38</v>
      </c>
      <c r="M33" s="1">
        <v>0.24</v>
      </c>
      <c r="N33" s="1">
        <v>3.6</v>
      </c>
      <c r="O33" s="1">
        <v>358.9</v>
      </c>
      <c r="P33" s="1">
        <v>623.9</v>
      </c>
      <c r="Q33" s="20">
        <v>8454974</v>
      </c>
      <c r="R33" s="20">
        <v>35000000</v>
      </c>
      <c r="S33" s="8">
        <v>-4674240</v>
      </c>
      <c r="T33" s="1">
        <v>287</v>
      </c>
      <c r="U33" s="1">
        <v>68</v>
      </c>
      <c r="V33" s="1"/>
      <c r="W33" s="8">
        <v>-4362847</v>
      </c>
      <c r="X33" s="1" t="s">
        <v>398</v>
      </c>
      <c r="Y33" s="1" t="s">
        <v>399</v>
      </c>
      <c r="Z33" s="1" t="s">
        <v>400</v>
      </c>
      <c r="AA33" s="1"/>
      <c r="AB33" s="1"/>
      <c r="AC33" s="8">
        <v>303449.01685999997</v>
      </c>
      <c r="AD33" s="8">
        <v>-99784.442713757744</v>
      </c>
      <c r="AE33" s="25">
        <v>-767733.68437294557</v>
      </c>
      <c r="AF33" s="8">
        <f>VALUE(SUBSTITUTE(LEFT(Z33, FIND(" ", Z33) - 1), ",", ""))</f>
        <v>-136718</v>
      </c>
      <c r="AG33" s="15">
        <f ca="1">(AF33/YEARFRAC(A33,TODAY())/P33)</f>
        <v>-133.03273457744316</v>
      </c>
      <c r="AI33" s="8">
        <f>VALUE(SUBSTITUTE(LEFT(X33, FIND(" ", X33) - 1), ",", ""))</f>
        <v>198581</v>
      </c>
      <c r="AK33" s="20" t="str">
        <f>IF(AI33&gt;AC33, "YES","")</f>
        <v/>
      </c>
    </row>
    <row r="34" spans="1:37" hidden="1" x14ac:dyDescent="0.25">
      <c r="A34" s="5">
        <v>44749</v>
      </c>
      <c r="B34" s="1" t="s">
        <v>31</v>
      </c>
      <c r="C34" s="1">
        <v>36</v>
      </c>
      <c r="D34" s="1" t="s">
        <v>43</v>
      </c>
      <c r="E34" s="1" t="s">
        <v>78</v>
      </c>
      <c r="F34" s="1" t="s">
        <v>34</v>
      </c>
      <c r="G34" s="1" t="s">
        <v>31</v>
      </c>
      <c r="H34" s="1">
        <v>37</v>
      </c>
      <c r="I34" s="1" t="s">
        <v>43</v>
      </c>
      <c r="J34" s="1" t="s">
        <v>78</v>
      </c>
      <c r="K34" s="1" t="s">
        <v>37</v>
      </c>
      <c r="L34" s="1" t="s">
        <v>118</v>
      </c>
      <c r="M34" s="1">
        <v>0.94</v>
      </c>
      <c r="N34" s="1">
        <v>-1.8</v>
      </c>
      <c r="O34" s="1">
        <v>16.7</v>
      </c>
      <c r="P34" s="1">
        <v>359.1</v>
      </c>
      <c r="Q34" s="20">
        <v>140000000</v>
      </c>
      <c r="R34" s="20">
        <v>149424312</v>
      </c>
      <c r="S34" s="8">
        <v>-315714</v>
      </c>
      <c r="T34" s="1">
        <v>111</v>
      </c>
      <c r="U34" s="1">
        <v>106</v>
      </c>
      <c r="V34" s="1"/>
      <c r="W34" s="8">
        <v>4233469</v>
      </c>
      <c r="X34" s="1" t="s">
        <v>185</v>
      </c>
      <c r="Y34" s="1" t="s">
        <v>186</v>
      </c>
      <c r="Z34" s="1" t="s">
        <v>187</v>
      </c>
      <c r="AA34" s="1"/>
      <c r="AB34" s="1"/>
      <c r="AC34" s="8">
        <v>233800</v>
      </c>
      <c r="AD34" s="8">
        <v>-971610.6600344982</v>
      </c>
      <c r="AE34" s="25">
        <v>-750787.9658467304</v>
      </c>
      <c r="AF34" s="8">
        <f>VALUE(SUBSTITUTE(LEFT(Z34, FIND(" ", Z34) - 1), ",", ""))</f>
        <v>10004</v>
      </c>
      <c r="AG34" s="15">
        <f ca="1">(AF34/YEARFRAC(A34,TODAY())/P34)</f>
        <v>8.1404810728118999</v>
      </c>
      <c r="AI34" s="8">
        <f>VALUE(SUBSTITUTE(LEFT(X34, FIND(" ", X34) - 1), ",", ""))</f>
        <v>6820581</v>
      </c>
      <c r="AK34" s="20" t="str">
        <f>IF(AI34&gt;AC34, "YES","")</f>
        <v>YES</v>
      </c>
    </row>
    <row r="35" spans="1:37" hidden="1" x14ac:dyDescent="0.25">
      <c r="A35" s="5">
        <v>45469</v>
      </c>
      <c r="B35" s="20" t="s">
        <v>35</v>
      </c>
      <c r="C35" s="20">
        <v>40</v>
      </c>
      <c r="D35" s="20" t="s">
        <v>43</v>
      </c>
      <c r="E35" s="20" t="s">
        <v>33</v>
      </c>
      <c r="F35" s="20" t="s">
        <v>34</v>
      </c>
      <c r="G35" s="20" t="s">
        <v>58</v>
      </c>
      <c r="H35" s="20">
        <v>41</v>
      </c>
      <c r="I35" s="20" t="s">
        <v>43</v>
      </c>
      <c r="J35" s="20" t="s">
        <v>33</v>
      </c>
      <c r="K35" s="20" t="s">
        <v>37</v>
      </c>
      <c r="L35" s="20" t="s">
        <v>38</v>
      </c>
      <c r="M35" s="20">
        <v>0.98</v>
      </c>
      <c r="N35" s="20">
        <v>1.3</v>
      </c>
      <c r="O35" s="20">
        <v>153.1</v>
      </c>
      <c r="P35" s="20">
        <v>1556.7</v>
      </c>
      <c r="Q35" s="20">
        <v>39370599</v>
      </c>
      <c r="R35" s="20">
        <v>40000000</v>
      </c>
      <c r="S35" s="8">
        <v>304891</v>
      </c>
      <c r="T35" s="20">
        <v>336</v>
      </c>
      <c r="U35" s="20">
        <v>329</v>
      </c>
      <c r="V35" s="20"/>
      <c r="W35" s="8">
        <v>399566</v>
      </c>
      <c r="X35" s="20" t="s">
        <v>741</v>
      </c>
      <c r="Y35" s="20" t="s">
        <v>742</v>
      </c>
      <c r="Z35" s="20" t="s">
        <v>743</v>
      </c>
      <c r="AA35" s="20"/>
      <c r="AB35" s="1"/>
      <c r="AC35" s="8">
        <v>602763.87069000001</v>
      </c>
      <c r="AD35" s="8">
        <v>30729.04323942494</v>
      </c>
      <c r="AE35" s="25">
        <v>-732715.14030422037</v>
      </c>
      <c r="AF35" s="8">
        <f>VALUE(SUBSTITUTE(LEFT(Z35, FIND(" ", Z35) - 1), ",", ""))</f>
        <v>578423</v>
      </c>
      <c r="AG35" s="15">
        <f ca="1">(AF35/YEARFRAC(A35,TODAY())/P35)</f>
        <v>255.76519236346044</v>
      </c>
      <c r="AI35" s="8">
        <f>VALUE(SUBSTITUTE(LEFT(X35, FIND(" ", X35) - 1), ",", ""))</f>
        <v>1570739</v>
      </c>
      <c r="AK35" s="20" t="str">
        <f>IF(AI35&gt;AC35, "YES","")</f>
        <v>YES</v>
      </c>
    </row>
    <row r="36" spans="1:37" hidden="1" x14ac:dyDescent="0.25">
      <c r="A36" s="5">
        <v>45468</v>
      </c>
      <c r="B36" s="20" t="s">
        <v>35</v>
      </c>
      <c r="C36" s="20">
        <v>39</v>
      </c>
      <c r="D36" s="20" t="s">
        <v>43</v>
      </c>
      <c r="E36" s="20" t="s">
        <v>33</v>
      </c>
      <c r="F36" s="20" t="s">
        <v>34</v>
      </c>
      <c r="G36" s="20" t="s">
        <v>58</v>
      </c>
      <c r="H36" s="20">
        <v>41</v>
      </c>
      <c r="I36" s="20" t="s">
        <v>36</v>
      </c>
      <c r="J36" s="20" t="s">
        <v>33</v>
      </c>
      <c r="K36" s="20" t="s">
        <v>37</v>
      </c>
      <c r="L36" s="20" t="s">
        <v>38</v>
      </c>
      <c r="M36" s="20">
        <v>0.25</v>
      </c>
      <c r="N36" s="20">
        <v>19.8</v>
      </c>
      <c r="O36" s="20">
        <v>270.5</v>
      </c>
      <c r="P36" s="20">
        <v>61.9</v>
      </c>
      <c r="Q36" s="20">
        <v>8812666</v>
      </c>
      <c r="R36" s="20">
        <v>35000000</v>
      </c>
      <c r="S36" s="8">
        <v>-4702560</v>
      </c>
      <c r="T36" s="20">
        <v>262</v>
      </c>
      <c r="U36" s="20">
        <v>61</v>
      </c>
      <c r="V36" s="20"/>
      <c r="W36" s="8">
        <v>-4492261</v>
      </c>
      <c r="X36" s="20" t="s">
        <v>447</v>
      </c>
      <c r="Y36" s="20" t="s">
        <v>448</v>
      </c>
      <c r="Z36" s="20" t="s">
        <v>449</v>
      </c>
      <c r="AA36" s="20"/>
      <c r="AB36" s="1"/>
      <c r="AC36" s="8">
        <v>238382.6153</v>
      </c>
      <c r="AD36" s="8">
        <v>-37639.883818754337</v>
      </c>
      <c r="AE36" s="25">
        <v>-719582.53661408043</v>
      </c>
      <c r="AF36" s="8">
        <f>VALUE(SUBSTITUTE(LEFT(Z36, FIND(" ", Z36) - 1), ",", ""))</f>
        <v>-102737</v>
      </c>
      <c r="AG36" s="15">
        <f ca="1">(AF36/YEARFRAC(A36,TODAY())/P36)</f>
        <v>-1140.2693336950758</v>
      </c>
      <c r="AI36" s="8">
        <f>VALUE(SUBSTITUTE(LEFT(X36, FIND(" ", X36) - 1), ",", ""))</f>
        <v>222068</v>
      </c>
      <c r="AK36" s="20" t="str">
        <f>IF(AI36&gt;AC36, "YES","")</f>
        <v/>
      </c>
    </row>
    <row r="37" spans="1:37" hidden="1" x14ac:dyDescent="0.25">
      <c r="A37" s="5">
        <v>45511</v>
      </c>
      <c r="B37" s="1" t="s">
        <v>44</v>
      </c>
      <c r="C37" s="1">
        <v>39</v>
      </c>
      <c r="D37" s="1" t="s">
        <v>43</v>
      </c>
      <c r="E37" s="1" t="s">
        <v>33</v>
      </c>
      <c r="F37" s="1" t="s">
        <v>34</v>
      </c>
      <c r="G37" s="1" t="s">
        <v>58</v>
      </c>
      <c r="H37" s="1">
        <v>41</v>
      </c>
      <c r="I37" s="1" t="s">
        <v>36</v>
      </c>
      <c r="J37" s="1" t="s">
        <v>33</v>
      </c>
      <c r="K37" s="1" t="s">
        <v>37</v>
      </c>
      <c r="L37" s="1" t="s">
        <v>38</v>
      </c>
      <c r="M37" s="1">
        <v>1.32</v>
      </c>
      <c r="N37" s="1">
        <v>0.2</v>
      </c>
      <c r="O37" s="1">
        <v>19.5</v>
      </c>
      <c r="P37" s="1">
        <v>6448.9</v>
      </c>
      <c r="Q37" s="8">
        <v>46243689</v>
      </c>
      <c r="R37" s="8">
        <v>35000000</v>
      </c>
      <c r="S37" s="8">
        <v>-4304227</v>
      </c>
      <c r="T37" s="1">
        <v>54</v>
      </c>
      <c r="U37" s="1">
        <v>71</v>
      </c>
      <c r="V37" s="1"/>
      <c r="W37" s="8">
        <v>-3949107</v>
      </c>
      <c r="X37" s="1" t="s">
        <v>810</v>
      </c>
      <c r="Y37" s="1" t="s">
        <v>811</v>
      </c>
      <c r="Z37" s="1" t="s">
        <v>812</v>
      </c>
      <c r="AA37" s="1"/>
      <c r="AB37" s="1"/>
      <c r="AC37" s="8">
        <v>90175.193549999996</v>
      </c>
      <c r="AD37" s="8">
        <v>-119801.2435104724</v>
      </c>
      <c r="AE37" s="25">
        <v>-715666.24574970535</v>
      </c>
      <c r="AF37" s="8">
        <f>VALUE(SUBSTITUTE(LEFT(Z37, FIND(" ", Z37) - 1), ",", ""))</f>
        <v>-118702</v>
      </c>
      <c r="AG37" s="15">
        <f ca="1">(AF37/YEARFRAC(A37,TODAY())/P37)</f>
        <v>-13.747630671228373</v>
      </c>
      <c r="AH37" s="9" t="s">
        <v>1238</v>
      </c>
      <c r="AI37" s="8">
        <f>VALUE(SUBSTITUTE(LEFT(X37, FIND(" ", X37) - 1), ",", ""))</f>
        <v>17938</v>
      </c>
      <c r="AK37" s="20" t="str">
        <f>IF(AI37&gt;AC37, "YES","")</f>
        <v/>
      </c>
    </row>
    <row r="38" spans="1:37" hidden="1" x14ac:dyDescent="0.25">
      <c r="A38" s="5">
        <v>45306</v>
      </c>
      <c r="B38" s="1" t="s">
        <v>57</v>
      </c>
      <c r="C38" s="1">
        <v>40</v>
      </c>
      <c r="D38" s="1" t="s">
        <v>43</v>
      </c>
      <c r="E38" s="1" t="s">
        <v>33</v>
      </c>
      <c r="F38" s="1" t="s">
        <v>34</v>
      </c>
      <c r="G38" s="1" t="s">
        <v>58</v>
      </c>
      <c r="H38" s="1">
        <v>41</v>
      </c>
      <c r="I38" s="1" t="s">
        <v>36</v>
      </c>
      <c r="J38" s="1" t="s">
        <v>33</v>
      </c>
      <c r="K38" s="1" t="s">
        <v>37</v>
      </c>
      <c r="L38" s="1" t="s">
        <v>38</v>
      </c>
      <c r="M38" s="1">
        <v>0.75</v>
      </c>
      <c r="N38" s="1">
        <v>24.7</v>
      </c>
      <c r="O38" s="1">
        <v>36.4</v>
      </c>
      <c r="P38" s="1">
        <v>118.2</v>
      </c>
      <c r="Q38" s="20">
        <v>26138519</v>
      </c>
      <c r="R38" s="20">
        <v>35000000</v>
      </c>
      <c r="S38" s="8">
        <v>-5914913</v>
      </c>
      <c r="T38" s="1">
        <v>131</v>
      </c>
      <c r="U38" s="1">
        <v>79</v>
      </c>
      <c r="V38" s="1"/>
      <c r="W38" s="8">
        <v>-5452534</v>
      </c>
      <c r="X38" s="1" t="s">
        <v>395</v>
      </c>
      <c r="Y38" s="1" t="s">
        <v>396</v>
      </c>
      <c r="Z38" s="1" t="s">
        <v>397</v>
      </c>
      <c r="AA38" s="1" t="s">
        <v>42</v>
      </c>
      <c r="AB38" s="1"/>
      <c r="AC38" s="8">
        <v>95144.209159999999</v>
      </c>
      <c r="AD38" s="8">
        <v>325016.27000383311</v>
      </c>
      <c r="AE38" s="8">
        <v>-714420.35514563497</v>
      </c>
      <c r="AF38" s="8">
        <f>VALUE(SUBSTITUTE(LEFT(Z38, FIND(" ", Z38) - 1), ",", ""))</f>
        <v>338757</v>
      </c>
      <c r="AG38" s="15">
        <f ca="1">(AF38/YEARFRAC(A38,TODAY())/P38)</f>
        <v>1508.4023510553034</v>
      </c>
      <c r="AI38" s="8">
        <f>VALUE(SUBSTITUTE(LEFT(X38, FIND(" ", X38) - 1), ",", ""))</f>
        <v>547064</v>
      </c>
      <c r="AK38" s="20" t="str">
        <f>IF(AI38&gt;AC38, "YES","")</f>
        <v>YES</v>
      </c>
    </row>
    <row r="39" spans="1:37" hidden="1" x14ac:dyDescent="0.25">
      <c r="A39" s="5">
        <v>45306</v>
      </c>
      <c r="B39" s="1" t="s">
        <v>57</v>
      </c>
      <c r="C39" s="1">
        <v>39</v>
      </c>
      <c r="D39" s="1" t="s">
        <v>43</v>
      </c>
      <c r="E39" s="1" t="s">
        <v>33</v>
      </c>
      <c r="F39" s="1" t="s">
        <v>34</v>
      </c>
      <c r="G39" s="1" t="s">
        <v>44</v>
      </c>
      <c r="H39" s="1">
        <v>40</v>
      </c>
      <c r="I39" s="1" t="s">
        <v>43</v>
      </c>
      <c r="J39" s="1" t="s">
        <v>33</v>
      </c>
      <c r="K39" s="1" t="s">
        <v>37</v>
      </c>
      <c r="L39" s="1" t="s">
        <v>118</v>
      </c>
      <c r="M39" s="1">
        <v>0.5</v>
      </c>
      <c r="N39" s="1">
        <v>-4.8</v>
      </c>
      <c r="O39" s="1">
        <v>17.899999999999999</v>
      </c>
      <c r="P39" s="1">
        <v>151.5</v>
      </c>
      <c r="Q39" s="20">
        <v>40000000</v>
      </c>
      <c r="R39" s="20">
        <v>80366457</v>
      </c>
      <c r="S39" s="8">
        <v>-1709257</v>
      </c>
      <c r="T39" s="1">
        <v>117</v>
      </c>
      <c r="U39" s="1">
        <v>61</v>
      </c>
      <c r="V39" s="1"/>
      <c r="W39" s="8">
        <v>-1033418</v>
      </c>
      <c r="X39" s="1" t="s">
        <v>386</v>
      </c>
      <c r="Y39" s="1" t="s">
        <v>387</v>
      </c>
      <c r="Z39" s="1" t="s">
        <v>388</v>
      </c>
      <c r="AA39" s="1" t="s">
        <v>42</v>
      </c>
      <c r="AB39" s="1"/>
      <c r="AC39" s="8">
        <v>71600</v>
      </c>
      <c r="AD39" s="8">
        <v>-344120.28267679689</v>
      </c>
      <c r="AE39" s="25">
        <v>-713120.16953031346</v>
      </c>
      <c r="AF39" s="8">
        <f>VALUE(SUBSTITUTE(LEFT(Z39, FIND(" ", Z39) - 1), ",", ""))</f>
        <v>88532</v>
      </c>
      <c r="AG39" s="15">
        <f ca="1">(AF39/YEARFRAC(A39,TODAY())/P39)</f>
        <v>307.56296682299813</v>
      </c>
      <c r="AI39" s="8">
        <f>VALUE(SUBSTITUTE(LEFT(X39, FIND(" ", X39) - 1), ",", ""))</f>
        <v>858921</v>
      </c>
      <c r="AK39" s="20" t="str">
        <f>IF(AI39&gt;AC39, "YES","")</f>
        <v>YES</v>
      </c>
    </row>
    <row r="40" spans="1:37" hidden="1" x14ac:dyDescent="0.25">
      <c r="A40" s="5">
        <v>44397</v>
      </c>
      <c r="B40" s="20" t="s">
        <v>57</v>
      </c>
      <c r="C40" s="20">
        <v>34</v>
      </c>
      <c r="D40" s="20" t="s">
        <v>43</v>
      </c>
      <c r="E40" s="20" t="s">
        <v>33</v>
      </c>
      <c r="F40" s="20" t="s">
        <v>34</v>
      </c>
      <c r="G40" s="20" t="s">
        <v>58</v>
      </c>
      <c r="H40" s="20">
        <v>35</v>
      </c>
      <c r="I40" s="20" t="s">
        <v>36</v>
      </c>
      <c r="J40" s="20" t="s">
        <v>33</v>
      </c>
      <c r="K40" s="20" t="s">
        <v>37</v>
      </c>
      <c r="L40" s="20" t="s">
        <v>38</v>
      </c>
      <c r="M40" s="20">
        <v>0.81</v>
      </c>
      <c r="N40" s="20">
        <v>29.3</v>
      </c>
      <c r="O40" s="20">
        <v>20.9</v>
      </c>
      <c r="P40" s="20">
        <v>171.2</v>
      </c>
      <c r="Q40" s="8">
        <v>28259269</v>
      </c>
      <c r="R40" s="8">
        <v>35000000</v>
      </c>
      <c r="S40" s="8">
        <v>-686194</v>
      </c>
      <c r="T40" s="20">
        <v>95</v>
      </c>
      <c r="U40" s="20">
        <v>53</v>
      </c>
      <c r="V40" s="20"/>
      <c r="W40" s="8">
        <v>-686194</v>
      </c>
      <c r="X40" s="20" t="s">
        <v>59</v>
      </c>
      <c r="Y40" s="20" t="s">
        <v>60</v>
      </c>
      <c r="Z40" s="20" t="s">
        <v>61</v>
      </c>
      <c r="AA40" s="20"/>
      <c r="AB40" s="1"/>
      <c r="AC40" s="8">
        <v>59061.872209999987</v>
      </c>
      <c r="AD40" s="8">
        <v>366604.71342094458</v>
      </c>
      <c r="AE40" s="25">
        <v>-705759.45556567784</v>
      </c>
      <c r="AF40" s="8">
        <f>VALUE(SUBSTITUTE(LEFT(Z40, FIND(" ", Z40) - 1), ",", ""))</f>
        <v>-1030377</v>
      </c>
      <c r="AG40" s="15">
        <f ca="1">(AF40/YEARFRAC(A40,TODAY())/P40)</f>
        <v>-1372.185311891473</v>
      </c>
      <c r="AH40" s="9" t="s">
        <v>1238</v>
      </c>
      <c r="AI40" s="8">
        <f>VALUE(SUBSTITUTE(LEFT(X40, FIND(" ", X40) - 1), ",", ""))</f>
        <v>42513</v>
      </c>
      <c r="AK40" s="20" t="str">
        <f>IF(AI40&gt;AC40, "YES","")</f>
        <v/>
      </c>
    </row>
    <row r="41" spans="1:37" hidden="1" x14ac:dyDescent="0.25">
      <c r="A41" s="5">
        <v>45469</v>
      </c>
      <c r="B41" s="20" t="s">
        <v>35</v>
      </c>
      <c r="C41" s="20">
        <v>39</v>
      </c>
      <c r="D41" s="20" t="s">
        <v>43</v>
      </c>
      <c r="E41" s="20" t="s">
        <v>33</v>
      </c>
      <c r="F41" s="20" t="s">
        <v>34</v>
      </c>
      <c r="G41" s="20" t="s">
        <v>58</v>
      </c>
      <c r="H41" s="20">
        <v>41</v>
      </c>
      <c r="I41" s="20" t="s">
        <v>36</v>
      </c>
      <c r="J41" s="20" t="s">
        <v>33</v>
      </c>
      <c r="K41" s="20" t="s">
        <v>37</v>
      </c>
      <c r="L41" s="20" t="s">
        <v>38</v>
      </c>
      <c r="M41" s="20">
        <v>0.25</v>
      </c>
      <c r="N41" s="20">
        <v>20.5</v>
      </c>
      <c r="O41" s="20">
        <v>271.3</v>
      </c>
      <c r="P41" s="20">
        <v>53.6</v>
      </c>
      <c r="Q41" s="20">
        <v>8818803</v>
      </c>
      <c r="R41" s="20">
        <v>35000000</v>
      </c>
      <c r="S41" s="8">
        <v>-4711715</v>
      </c>
      <c r="T41" s="20">
        <v>262</v>
      </c>
      <c r="U41" s="20">
        <v>60</v>
      </c>
      <c r="V41" s="20"/>
      <c r="W41" s="8">
        <v>-4514650</v>
      </c>
      <c r="X41" s="20" t="s">
        <v>767</v>
      </c>
      <c r="Y41" s="20" t="s">
        <v>768</v>
      </c>
      <c r="Z41" s="20" t="s">
        <v>769</v>
      </c>
      <c r="AA41" s="20"/>
      <c r="AB41" s="1"/>
      <c r="AC41" s="8">
        <v>239254.12539</v>
      </c>
      <c r="AD41" s="8">
        <v>-21350.885248459879</v>
      </c>
      <c r="AE41" s="25">
        <v>-703560.65983120422</v>
      </c>
      <c r="AF41" s="8">
        <f>VALUE(SUBSTITUTE(LEFT(Z41, FIND(" ", Z41) - 1), ",", ""))</f>
        <v>-88288</v>
      </c>
      <c r="AG41" s="15">
        <f ca="1">(AF41/YEARFRAC(A41,TODAY())/P41)</f>
        <v>-1133.8032590394109</v>
      </c>
      <c r="AI41" s="8">
        <f>VALUE(SUBSTITUTE(LEFT(X41, FIND(" ", X41) - 1), ",", ""))</f>
        <v>236507</v>
      </c>
      <c r="AK41" s="20" t="str">
        <f>IF(AI41&gt;AC41, "YES","")</f>
        <v/>
      </c>
    </row>
    <row r="42" spans="1:37" hidden="1" x14ac:dyDescent="0.25">
      <c r="A42" s="5">
        <v>45511</v>
      </c>
      <c r="B42" s="20" t="s">
        <v>57</v>
      </c>
      <c r="C42" s="20">
        <v>40</v>
      </c>
      <c r="D42" s="20" t="s">
        <v>43</v>
      </c>
      <c r="E42" s="20" t="s">
        <v>33</v>
      </c>
      <c r="F42" s="20" t="s">
        <v>34</v>
      </c>
      <c r="G42" s="20" t="s">
        <v>35</v>
      </c>
      <c r="H42" s="20">
        <v>41</v>
      </c>
      <c r="I42" s="20" t="s">
        <v>43</v>
      </c>
      <c r="J42" s="20" t="s">
        <v>33</v>
      </c>
      <c r="K42" s="20" t="s">
        <v>37</v>
      </c>
      <c r="L42" s="20" t="s">
        <v>118</v>
      </c>
      <c r="M42" s="20">
        <v>2.44</v>
      </c>
      <c r="N42" s="20">
        <v>-16</v>
      </c>
      <c r="O42" s="20">
        <v>24.6</v>
      </c>
      <c r="P42" s="20">
        <v>340.4</v>
      </c>
      <c r="Q42" s="20">
        <v>40000000</v>
      </c>
      <c r="R42" s="20">
        <v>16364663</v>
      </c>
      <c r="S42" s="8">
        <v>-1568544</v>
      </c>
      <c r="T42" s="20">
        <v>118</v>
      </c>
      <c r="U42" s="20">
        <v>329</v>
      </c>
      <c r="V42" s="20"/>
      <c r="W42" s="8">
        <v>-1568544</v>
      </c>
      <c r="X42" s="20" t="s">
        <v>813</v>
      </c>
      <c r="Y42" s="20" t="s">
        <v>814</v>
      </c>
      <c r="Z42" s="20" t="s">
        <v>815</v>
      </c>
      <c r="AA42" s="20"/>
      <c r="AB42" s="1"/>
      <c r="AC42" s="8">
        <v>98400</v>
      </c>
      <c r="AD42" s="8">
        <v>-558408.21295167692</v>
      </c>
      <c r="AE42" s="25">
        <v>-688152.93794823787</v>
      </c>
      <c r="AF42" s="8">
        <f>VALUE(SUBSTITUTE(LEFT(Z42, FIND(" ", Z42) - 1), ",", ""))</f>
        <v>5678</v>
      </c>
      <c r="AG42" s="15">
        <f ca="1">(AF42/YEARFRAC(A42,TODAY())/P42)</f>
        <v>12.458372137246394</v>
      </c>
      <c r="AI42" s="8">
        <f>VALUE(SUBSTITUTE(LEFT(X42, FIND(" ", X42) - 1), ",", ""))</f>
        <v>506100</v>
      </c>
      <c r="AK42" s="20" t="str">
        <f>IF(AI42&gt;AC42, "YES","")</f>
        <v>YES</v>
      </c>
    </row>
    <row r="43" spans="1:37" hidden="1" x14ac:dyDescent="0.25">
      <c r="A43" s="5">
        <v>45512</v>
      </c>
      <c r="B43" s="1" t="s">
        <v>57</v>
      </c>
      <c r="C43" s="1">
        <v>40</v>
      </c>
      <c r="D43" s="1" t="s">
        <v>43</v>
      </c>
      <c r="E43" s="1" t="s">
        <v>33</v>
      </c>
      <c r="F43" s="1" t="s">
        <v>34</v>
      </c>
      <c r="G43" s="1" t="s">
        <v>35</v>
      </c>
      <c r="H43" s="1">
        <v>41</v>
      </c>
      <c r="I43" s="1" t="s">
        <v>43</v>
      </c>
      <c r="J43" s="1" t="s">
        <v>33</v>
      </c>
      <c r="K43" s="1" t="s">
        <v>37</v>
      </c>
      <c r="L43" s="1" t="s">
        <v>118</v>
      </c>
      <c r="M43" s="1">
        <v>2.44</v>
      </c>
      <c r="N43" s="1">
        <v>-15.6</v>
      </c>
      <c r="O43" s="1">
        <v>26.4</v>
      </c>
      <c r="P43" s="1">
        <v>331.2</v>
      </c>
      <c r="Q43" s="20">
        <v>40000000</v>
      </c>
      <c r="R43" s="20">
        <v>16368209</v>
      </c>
      <c r="S43" s="8">
        <v>-1576387</v>
      </c>
      <c r="T43" s="1">
        <v>118</v>
      </c>
      <c r="U43" s="1">
        <v>328</v>
      </c>
      <c r="V43" s="1"/>
      <c r="W43" s="8">
        <v>-1576387</v>
      </c>
      <c r="X43" s="1" t="s">
        <v>466</v>
      </c>
      <c r="Y43" s="1" t="s">
        <v>467</v>
      </c>
      <c r="Z43" s="1" t="s">
        <v>468</v>
      </c>
      <c r="AA43" s="1"/>
      <c r="AB43" s="1"/>
      <c r="AC43" s="8">
        <v>105600</v>
      </c>
      <c r="AD43" s="8">
        <v>-550830.61599014373</v>
      </c>
      <c r="AE43" s="25">
        <v>-680193.69700617506</v>
      </c>
      <c r="AF43" s="8">
        <f>VALUE(SUBSTITUTE(LEFT(Z43, FIND(" ", Z43) - 1), ",", ""))</f>
        <v>13204</v>
      </c>
      <c r="AG43" s="15">
        <f ca="1">(AF43/YEARFRAC(A43,TODAY())/P43)</f>
        <v>29.838199403416798</v>
      </c>
      <c r="AI43" s="8">
        <f>VALUE(SUBSTITUTE(LEFT(X43, FIND(" ", X43) - 1), ",", ""))</f>
        <v>513848</v>
      </c>
      <c r="AK43" s="20" t="str">
        <f>IF(AI43&gt;AC43, "YES","")</f>
        <v>YES</v>
      </c>
    </row>
    <row r="44" spans="1:37" hidden="1" x14ac:dyDescent="0.25">
      <c r="A44" s="5">
        <v>45306</v>
      </c>
      <c r="B44" s="1" t="s">
        <v>35</v>
      </c>
      <c r="C44" s="1">
        <v>40</v>
      </c>
      <c r="D44" s="1" t="s">
        <v>43</v>
      </c>
      <c r="E44" s="1" t="s">
        <v>33</v>
      </c>
      <c r="F44" s="1" t="s">
        <v>34</v>
      </c>
      <c r="G44" s="1" t="s">
        <v>58</v>
      </c>
      <c r="H44" s="1">
        <v>41</v>
      </c>
      <c r="I44" s="1" t="s">
        <v>36</v>
      </c>
      <c r="J44" s="1" t="s">
        <v>33</v>
      </c>
      <c r="K44" s="1" t="s">
        <v>37</v>
      </c>
      <c r="L44" s="1" t="s">
        <v>38</v>
      </c>
      <c r="M44" s="1">
        <v>0.26</v>
      </c>
      <c r="N44" s="1">
        <v>16.600000000000001</v>
      </c>
      <c r="O44" s="1">
        <v>111.6</v>
      </c>
      <c r="P44" s="1">
        <v>238.7</v>
      </c>
      <c r="Q44" s="1">
        <v>8937365</v>
      </c>
      <c r="R44" s="1">
        <v>35000000</v>
      </c>
      <c r="S44" s="8">
        <v>-4854643</v>
      </c>
      <c r="T44" s="1">
        <v>329</v>
      </c>
      <c r="U44" s="1">
        <v>79</v>
      </c>
      <c r="V44" s="1"/>
      <c r="W44" s="8">
        <v>-4392264</v>
      </c>
      <c r="X44" s="1" t="s">
        <v>380</v>
      </c>
      <c r="Y44" s="1" t="s">
        <v>381</v>
      </c>
      <c r="Z44" s="1" t="s">
        <v>382</v>
      </c>
      <c r="AA44" s="1"/>
      <c r="AB44" s="1"/>
      <c r="AC44" s="8">
        <v>99740.993399999992</v>
      </c>
      <c r="AD44" s="8">
        <v>86484.037258042255</v>
      </c>
      <c r="AE44" s="25">
        <v>-671718.53325109079</v>
      </c>
      <c r="AF44" s="8">
        <f>VALUE(SUBSTITUTE(LEFT(Z44, FIND(" ", Z44) - 1), ",", ""))</f>
        <v>-109289</v>
      </c>
      <c r="AG44" s="15">
        <f ca="1">(AF44/YEARFRAC(A44,TODAY())/P44)</f>
        <v>-240.97413622031618</v>
      </c>
      <c r="AI44" s="8">
        <f>VALUE(SUBSTITUTE(LEFT(X44, FIND(" ", X44) - 1), ",", ""))</f>
        <v>37147</v>
      </c>
      <c r="AK44" s="20" t="str">
        <f>IF(AI44&gt;AC44, "YES","")</f>
        <v/>
      </c>
    </row>
    <row r="45" spans="1:37" hidden="1" x14ac:dyDescent="0.25">
      <c r="A45" s="5">
        <v>45153</v>
      </c>
      <c r="B45" s="1" t="s">
        <v>57</v>
      </c>
      <c r="C45" s="1">
        <v>38</v>
      </c>
      <c r="D45" s="1" t="s">
        <v>43</v>
      </c>
      <c r="E45" s="1" t="s">
        <v>33</v>
      </c>
      <c r="F45" s="1" t="s">
        <v>34</v>
      </c>
      <c r="G45" s="1" t="s">
        <v>58</v>
      </c>
      <c r="H45" s="1">
        <v>39</v>
      </c>
      <c r="I45" s="1" t="s">
        <v>36</v>
      </c>
      <c r="J45" s="1" t="s">
        <v>33</v>
      </c>
      <c r="K45" s="1" t="s">
        <v>37</v>
      </c>
      <c r="L45" s="1" t="s">
        <v>38</v>
      </c>
      <c r="M45" s="1">
        <v>0.71</v>
      </c>
      <c r="N45" s="1">
        <v>25.5</v>
      </c>
      <c r="O45" s="1">
        <v>28.5</v>
      </c>
      <c r="P45" s="1">
        <v>566.9</v>
      </c>
      <c r="Q45" s="20">
        <v>24741881</v>
      </c>
      <c r="R45" s="20">
        <v>35000000</v>
      </c>
      <c r="S45" s="8">
        <v>-5377663</v>
      </c>
      <c r="T45" s="1">
        <v>139</v>
      </c>
      <c r="U45" s="1">
        <v>80</v>
      </c>
      <c r="V45" s="1"/>
      <c r="W45" s="8">
        <v>-4842043</v>
      </c>
      <c r="X45" s="1" t="s">
        <v>322</v>
      </c>
      <c r="Y45" s="1" t="s">
        <v>323</v>
      </c>
      <c r="Z45" s="1" t="s">
        <v>324</v>
      </c>
      <c r="AA45" s="1" t="s">
        <v>42</v>
      </c>
      <c r="AB45" s="1"/>
      <c r="AC45" s="8">
        <v>70514.360849999997</v>
      </c>
      <c r="AD45" s="8">
        <v>277871.28730787127</v>
      </c>
      <c r="AE45" s="25">
        <v>-654427.94835349452</v>
      </c>
      <c r="AF45" s="8">
        <f>VALUE(SUBSTITUTE(LEFT(Z45, FIND(" ", Z45) - 1), ",", ""))</f>
        <v>380761</v>
      </c>
      <c r="AG45" s="15">
        <f ca="1">(AF45/YEARFRAC(A45,TODAY())/P45)</f>
        <v>289.92285444884521</v>
      </c>
      <c r="AI45" s="8">
        <f>VALUE(SUBSTITUTE(LEFT(X45, FIND(" ", X45) - 1), ",", ""))</f>
        <v>459632</v>
      </c>
      <c r="AK45" s="20" t="str">
        <f>IF(AI45&gt;AC45, "YES","")</f>
        <v>YES</v>
      </c>
    </row>
    <row r="46" spans="1:37" hidden="1" x14ac:dyDescent="0.25">
      <c r="A46" s="5">
        <v>45623</v>
      </c>
      <c r="B46" s="1" t="s">
        <v>31</v>
      </c>
      <c r="C46" s="1">
        <v>40</v>
      </c>
      <c r="D46" s="1" t="s">
        <v>43</v>
      </c>
      <c r="E46" s="1" t="s">
        <v>33</v>
      </c>
      <c r="F46" s="1" t="s">
        <v>34</v>
      </c>
      <c r="G46" s="1" t="s">
        <v>31</v>
      </c>
      <c r="H46" s="1">
        <v>41</v>
      </c>
      <c r="I46" s="1" t="s">
        <v>252</v>
      </c>
      <c r="J46" s="1" t="s">
        <v>33</v>
      </c>
      <c r="K46" s="1" t="s">
        <v>37</v>
      </c>
      <c r="L46" s="1" t="s">
        <v>118</v>
      </c>
      <c r="M46" s="1">
        <v>0.34</v>
      </c>
      <c r="N46" s="1">
        <v>-4.7</v>
      </c>
      <c r="O46" s="1">
        <v>12.8</v>
      </c>
      <c r="P46" s="1">
        <v>201.2</v>
      </c>
      <c r="Q46" s="8">
        <v>41085723</v>
      </c>
      <c r="R46" s="8">
        <v>120000000</v>
      </c>
      <c r="S46" s="8">
        <v>-2599268</v>
      </c>
      <c r="T46" s="1">
        <v>31</v>
      </c>
      <c r="U46" s="1">
        <v>12</v>
      </c>
      <c r="V46" s="1"/>
      <c r="W46" s="8">
        <v>-2553711</v>
      </c>
      <c r="X46" s="1" t="s">
        <v>889</v>
      </c>
      <c r="Y46" s="1" t="s">
        <v>890</v>
      </c>
      <c r="Z46" s="1" t="s">
        <v>891</v>
      </c>
      <c r="AA46" s="1"/>
      <c r="AB46" s="1"/>
      <c r="AC46" s="14">
        <v>52589.725440000002</v>
      </c>
      <c r="AD46" s="14">
        <v>-131398.1398184805</v>
      </c>
      <c r="AE46" s="25">
        <v>-641486.90634053538</v>
      </c>
      <c r="AF46" s="14">
        <f>VALUE(SUBSTITUTE(LEFT(Z46, FIND(" ", Z46) - 1), ",", ""))</f>
        <v>-91588</v>
      </c>
      <c r="AG46" s="13">
        <f ca="1">(AF46/YEARFRAC(A46,TODAY())/P46)</f>
        <v>-440.52459436926819</v>
      </c>
      <c r="AH46" s="19" t="s">
        <v>1238</v>
      </c>
      <c r="AI46" s="14">
        <f>VALUE(SUBSTITUTE(LEFT(X46, FIND(" ", X46) - 1), ",", ""))</f>
        <v>238076</v>
      </c>
      <c r="AK46" s="20" t="str">
        <f>IF(AI46&gt;AC46, "YES","")</f>
        <v>YES</v>
      </c>
    </row>
    <row r="47" spans="1:37" hidden="1" x14ac:dyDescent="0.25">
      <c r="A47" s="5">
        <v>45153</v>
      </c>
      <c r="B47" s="1" t="s">
        <v>44</v>
      </c>
      <c r="C47" s="1">
        <v>37</v>
      </c>
      <c r="D47" s="1" t="s">
        <v>43</v>
      </c>
      <c r="E47" s="1" t="s">
        <v>33</v>
      </c>
      <c r="F47" s="1" t="s">
        <v>34</v>
      </c>
      <c r="G47" s="1" t="s">
        <v>58</v>
      </c>
      <c r="H47" s="1">
        <v>39</v>
      </c>
      <c r="I47" s="1" t="s">
        <v>36</v>
      </c>
      <c r="J47" s="1" t="s">
        <v>33</v>
      </c>
      <c r="K47" s="1" t="s">
        <v>37</v>
      </c>
      <c r="L47" s="1" t="s">
        <v>38</v>
      </c>
      <c r="M47" s="1">
        <v>1.63</v>
      </c>
      <c r="N47" s="1">
        <v>10.6</v>
      </c>
      <c r="O47" s="1">
        <v>13.6</v>
      </c>
      <c r="P47" s="1">
        <v>277.10000000000002</v>
      </c>
      <c r="Q47" s="20">
        <v>57077427</v>
      </c>
      <c r="R47" s="20">
        <v>35000000</v>
      </c>
      <c r="S47" s="8">
        <v>-4159627</v>
      </c>
      <c r="T47" s="1">
        <v>60</v>
      </c>
      <c r="U47" s="1">
        <v>80</v>
      </c>
      <c r="V47" s="1"/>
      <c r="W47" s="8">
        <v>-3624006</v>
      </c>
      <c r="X47" s="1" t="s">
        <v>328</v>
      </c>
      <c r="Y47" s="1" t="s">
        <v>329</v>
      </c>
      <c r="Z47" s="1" t="s">
        <v>330</v>
      </c>
      <c r="AA47" s="1"/>
      <c r="AB47" s="1"/>
      <c r="AC47" s="8">
        <v>77625.300719999999</v>
      </c>
      <c r="AD47" s="8">
        <v>99993.72925393586</v>
      </c>
      <c r="AE47" s="25">
        <v>-633605.90987976105</v>
      </c>
      <c r="AF47" s="8">
        <f>VALUE(SUBSTITUTE(LEFT(Z47, FIND(" ", Z47) - 1), ",", ""))</f>
        <v>34946</v>
      </c>
      <c r="AG47" s="15">
        <f ca="1">(AF47/YEARFRAC(A47,TODAY())/P47)</f>
        <v>54.437402802406211</v>
      </c>
      <c r="AI47" s="8">
        <f>VALUE(SUBSTITUTE(LEFT(X47, FIND(" ", X47) - 1), ",", ""))</f>
        <v>139868</v>
      </c>
      <c r="AK47" s="20" t="str">
        <f>IF(AI47&gt;AC47, "YES","")</f>
        <v>YES</v>
      </c>
    </row>
    <row r="48" spans="1:37" hidden="1" x14ac:dyDescent="0.25">
      <c r="A48" s="5">
        <v>45754</v>
      </c>
      <c r="B48" s="1" t="s">
        <v>57</v>
      </c>
      <c r="C48" s="1">
        <v>43</v>
      </c>
      <c r="D48" s="1" t="s">
        <v>43</v>
      </c>
      <c r="E48" s="1" t="s">
        <v>33</v>
      </c>
      <c r="F48" s="1" t="s">
        <v>34</v>
      </c>
      <c r="G48" s="1" t="s">
        <v>58</v>
      </c>
      <c r="H48" s="1">
        <v>43</v>
      </c>
      <c r="I48" s="1" t="s">
        <v>36</v>
      </c>
      <c r="J48" s="1" t="s">
        <v>33</v>
      </c>
      <c r="K48" s="1" t="s">
        <v>37</v>
      </c>
      <c r="L48" s="1" t="s">
        <v>38</v>
      </c>
      <c r="M48" s="1">
        <v>0.73</v>
      </c>
      <c r="N48" s="1">
        <v>17.100000000000001</v>
      </c>
      <c r="O48" s="1">
        <v>24.7</v>
      </c>
      <c r="P48" s="1">
        <v>165.9</v>
      </c>
      <c r="Q48" s="20">
        <v>25582257</v>
      </c>
      <c r="R48" s="20">
        <v>35000000</v>
      </c>
      <c r="S48" s="8">
        <v>-5912681</v>
      </c>
      <c r="T48" s="1">
        <v>152</v>
      </c>
      <c r="U48" s="1">
        <v>98</v>
      </c>
      <c r="V48" s="1"/>
      <c r="W48" s="8">
        <v>-5059481</v>
      </c>
      <c r="X48" s="1" t="s">
        <v>564</v>
      </c>
      <c r="Y48" s="1" t="s">
        <v>565</v>
      </c>
      <c r="Z48" s="1" t="s">
        <v>566</v>
      </c>
      <c r="AA48" s="1" t="s">
        <v>567</v>
      </c>
      <c r="AB48" s="1"/>
      <c r="AC48" s="8">
        <v>63188.174789999997</v>
      </c>
      <c r="AD48" s="8">
        <v>409422.5384257359</v>
      </c>
      <c r="AE48" s="8">
        <v>-630928.1010950061</v>
      </c>
      <c r="AF48" s="8">
        <f>VALUE(SUBSTITUTE(LEFT(Z48, FIND(" ", Z48) - 1), ",", ""))</f>
        <v>119116</v>
      </c>
      <c r="AG48" s="15">
        <f ca="1">(AF48/YEARFRAC(A48,TODAY())/P48)</f>
        <v>1068.0973801802338</v>
      </c>
      <c r="AI48" s="8">
        <f>VALUE(SUBSTITUTE(LEFT(X48, FIND(" ", X48) - 1), ",", ""))</f>
        <v>199255</v>
      </c>
      <c r="AK48" s="20" t="str">
        <f>IF(AI48&gt;AC48, "YES","")</f>
        <v>YES</v>
      </c>
    </row>
    <row r="49" spans="1:37" hidden="1" x14ac:dyDescent="0.25">
      <c r="A49" s="5">
        <v>45637</v>
      </c>
      <c r="B49" s="1" t="s">
        <v>31</v>
      </c>
      <c r="C49" s="1">
        <v>40</v>
      </c>
      <c r="D49" s="1" t="s">
        <v>43</v>
      </c>
      <c r="E49" s="1" t="s">
        <v>33</v>
      </c>
      <c r="F49" s="1" t="s">
        <v>34</v>
      </c>
      <c r="G49" s="1" t="s">
        <v>31</v>
      </c>
      <c r="H49" s="1">
        <v>41</v>
      </c>
      <c r="I49" s="1" t="s">
        <v>252</v>
      </c>
      <c r="J49" s="1" t="s">
        <v>33</v>
      </c>
      <c r="K49" s="1" t="s">
        <v>37</v>
      </c>
      <c r="L49" s="1" t="s">
        <v>118</v>
      </c>
      <c r="M49" s="1">
        <v>0.34</v>
      </c>
      <c r="N49" s="1">
        <v>-4.0999999999999996</v>
      </c>
      <c r="O49" s="1">
        <v>14.8</v>
      </c>
      <c r="P49" s="1">
        <v>221.7</v>
      </c>
      <c r="Q49" s="20">
        <v>41097954</v>
      </c>
      <c r="R49" s="20">
        <v>120000000</v>
      </c>
      <c r="S49" s="8">
        <v>-2599748</v>
      </c>
      <c r="T49" s="1">
        <v>30</v>
      </c>
      <c r="U49" s="1">
        <v>11</v>
      </c>
      <c r="V49" s="1"/>
      <c r="W49" s="8">
        <v>-2573002</v>
      </c>
      <c r="X49" s="1" t="s">
        <v>918</v>
      </c>
      <c r="Y49" s="1" t="s">
        <v>919</v>
      </c>
      <c r="Z49" s="1" t="s">
        <v>920</v>
      </c>
      <c r="AA49" s="1"/>
      <c r="AB49" s="1"/>
      <c r="AC49" s="8">
        <v>60824.971920000004</v>
      </c>
      <c r="AD49" s="8">
        <v>-96812.593034907535</v>
      </c>
      <c r="AE49" s="25">
        <v>-604550.71844915149</v>
      </c>
      <c r="AF49" s="8">
        <f>VALUE(SUBSTITUTE(LEFT(Z49, FIND(" ", Z49) - 1), ",", ""))</f>
        <v>-59479</v>
      </c>
      <c r="AG49" s="15">
        <f ca="1">(AF49/YEARFRAC(A49,TODAY())/P49)</f>
        <v>-269.78477634732127</v>
      </c>
      <c r="AI49" s="8">
        <f>VALUE(SUBSTITUTE(LEFT(X49, FIND(" ", X49) - 1), ",", ""))</f>
        <v>271628</v>
      </c>
      <c r="AK49" s="20" t="str">
        <f>IF(AI49&gt;AC49, "YES","")</f>
        <v>YES</v>
      </c>
    </row>
    <row r="50" spans="1:37" hidden="1" x14ac:dyDescent="0.25">
      <c r="A50" s="5">
        <v>45561</v>
      </c>
      <c r="B50" s="1" t="s">
        <v>35</v>
      </c>
      <c r="C50" s="1">
        <v>42</v>
      </c>
      <c r="D50" s="1" t="s">
        <v>43</v>
      </c>
      <c r="E50" s="1" t="s">
        <v>33</v>
      </c>
      <c r="F50" s="1" t="s">
        <v>37</v>
      </c>
      <c r="G50" s="1" t="s">
        <v>57</v>
      </c>
      <c r="H50" s="1">
        <v>41</v>
      </c>
      <c r="I50" s="1" t="s">
        <v>43</v>
      </c>
      <c r="J50" s="1" t="s">
        <v>33</v>
      </c>
      <c r="K50" s="1" t="s">
        <v>34</v>
      </c>
      <c r="L50" s="1" t="s">
        <v>118</v>
      </c>
      <c r="M50" s="1">
        <v>0.35</v>
      </c>
      <c r="N50" s="1">
        <v>-4.4000000000000004</v>
      </c>
      <c r="O50" s="1">
        <v>47.9</v>
      </c>
      <c r="P50" s="1">
        <v>4518.8999999999996</v>
      </c>
      <c r="Q50" s="1">
        <v>13940581</v>
      </c>
      <c r="R50" s="1">
        <v>40000000</v>
      </c>
      <c r="S50" s="8">
        <v>-1436839</v>
      </c>
      <c r="T50" s="1">
        <v>307</v>
      </c>
      <c r="U50" s="1">
        <v>105</v>
      </c>
      <c r="V50" s="1"/>
      <c r="W50" s="8">
        <v>-1328575</v>
      </c>
      <c r="X50" s="1" t="s">
        <v>847</v>
      </c>
      <c r="Y50" s="1" t="s">
        <v>848</v>
      </c>
      <c r="Z50" s="1" t="s">
        <v>849</v>
      </c>
      <c r="AA50" s="1" t="s">
        <v>42</v>
      </c>
      <c r="AB50" s="1"/>
      <c r="AC50" s="8">
        <v>66775.382989999998</v>
      </c>
      <c r="AD50" s="8">
        <v>-252161.05115318301</v>
      </c>
      <c r="AE50" s="25">
        <v>-602855.59912769869</v>
      </c>
      <c r="AF50" s="8">
        <f>VALUE(SUBSTITUTE(LEFT(Z50, FIND(" ", Z50) - 1), ",", ""))</f>
        <v>223668</v>
      </c>
      <c r="AG50" s="15">
        <f ca="1">(AF50/YEARFRAC(A50,TODAY())/P50)</f>
        <v>41.151505478376507</v>
      </c>
      <c r="AI50" s="8">
        <f>VALUE(SUBSTITUTE(LEFT(X50, FIND(" ", X50) - 1), ",", ""))</f>
        <v>423203</v>
      </c>
      <c r="AK50" s="20" t="str">
        <f>IF(AI50&gt;AC50, "YES","")</f>
        <v>YES</v>
      </c>
    </row>
    <row r="51" spans="1:37" hidden="1" x14ac:dyDescent="0.25">
      <c r="A51" s="5">
        <v>45562</v>
      </c>
      <c r="B51" s="1" t="s">
        <v>35</v>
      </c>
      <c r="C51" s="1">
        <v>42</v>
      </c>
      <c r="D51" s="1" t="s">
        <v>43</v>
      </c>
      <c r="E51" s="1" t="s">
        <v>33</v>
      </c>
      <c r="F51" s="1" t="s">
        <v>37</v>
      </c>
      <c r="G51" s="1" t="s">
        <v>57</v>
      </c>
      <c r="H51" s="1">
        <v>41</v>
      </c>
      <c r="I51" s="1" t="s">
        <v>43</v>
      </c>
      <c r="J51" s="1" t="s">
        <v>33</v>
      </c>
      <c r="K51" s="1" t="s">
        <v>34</v>
      </c>
      <c r="L51" s="1" t="s">
        <v>118</v>
      </c>
      <c r="M51" s="1">
        <v>0.35</v>
      </c>
      <c r="N51" s="1">
        <v>-1.7</v>
      </c>
      <c r="O51" s="1">
        <v>54.5</v>
      </c>
      <c r="P51" s="1">
        <v>11033</v>
      </c>
      <c r="Q51" s="20">
        <v>13943509</v>
      </c>
      <c r="R51" s="20">
        <v>40000000</v>
      </c>
      <c r="S51" s="8">
        <v>-1455688</v>
      </c>
      <c r="T51" s="1">
        <v>306</v>
      </c>
      <c r="U51" s="1">
        <v>106</v>
      </c>
      <c r="V51" s="1"/>
      <c r="W51" s="8">
        <v>-1355099</v>
      </c>
      <c r="X51" s="1" t="s">
        <v>502</v>
      </c>
      <c r="Y51" s="1" t="s">
        <v>503</v>
      </c>
      <c r="Z51" s="1" t="s">
        <v>504</v>
      </c>
      <c r="AA51" s="1" t="s">
        <v>42</v>
      </c>
      <c r="AB51" s="1"/>
      <c r="AC51" s="8">
        <v>75992.124049999999</v>
      </c>
      <c r="AD51" s="8">
        <v>-226404.72830663921</v>
      </c>
      <c r="AE51" s="25">
        <v>-576722.75631802669</v>
      </c>
      <c r="AF51" s="8">
        <f>VALUE(SUBSTITUTE(LEFT(Z51, FIND(" ", Z51) - 1), ",", ""))</f>
        <v>250412</v>
      </c>
      <c r="AG51" s="15">
        <f ca="1">(AF51/YEARFRAC(A51,TODAY())/P51)</f>
        <v>18.913864467204448</v>
      </c>
      <c r="AI51" s="8">
        <f>VALUE(SUBSTITUTE(LEFT(X51, FIND(" ", X51) - 1), ",", ""))</f>
        <v>449595</v>
      </c>
      <c r="AK51" s="20" t="str">
        <f>IF(AI51&gt;AC51, "YES","")</f>
        <v>YES</v>
      </c>
    </row>
    <row r="52" spans="1:37" hidden="1" x14ac:dyDescent="0.25">
      <c r="A52" s="5">
        <v>45373</v>
      </c>
      <c r="B52" s="20" t="s">
        <v>44</v>
      </c>
      <c r="C52" s="20">
        <v>41</v>
      </c>
      <c r="D52" s="20" t="s">
        <v>43</v>
      </c>
      <c r="E52" s="20" t="s">
        <v>33</v>
      </c>
      <c r="F52" s="20" t="s">
        <v>37</v>
      </c>
      <c r="G52" s="20" t="s">
        <v>35</v>
      </c>
      <c r="H52" s="20">
        <v>40</v>
      </c>
      <c r="I52" s="20" t="s">
        <v>43</v>
      </c>
      <c r="J52" s="20" t="s">
        <v>33</v>
      </c>
      <c r="K52" s="20" t="s">
        <v>34</v>
      </c>
      <c r="L52" s="20" t="s">
        <v>38</v>
      </c>
      <c r="M52" s="20">
        <v>5.56</v>
      </c>
      <c r="N52" s="20">
        <v>1.6</v>
      </c>
      <c r="O52" s="20">
        <v>16.7</v>
      </c>
      <c r="P52" s="20">
        <v>343.3</v>
      </c>
      <c r="Q52" s="20">
        <v>222479911</v>
      </c>
      <c r="R52" s="20">
        <v>40000000</v>
      </c>
      <c r="S52" s="8">
        <v>-1580426</v>
      </c>
      <c r="T52" s="20">
        <v>55</v>
      </c>
      <c r="U52" s="20">
        <v>315</v>
      </c>
      <c r="V52" s="20"/>
      <c r="W52" s="8">
        <v>-926044</v>
      </c>
      <c r="X52" s="20" t="s">
        <v>635</v>
      </c>
      <c r="Y52" s="20" t="s">
        <v>636</v>
      </c>
      <c r="Z52" s="20" t="s">
        <v>637</v>
      </c>
      <c r="AA52" s="20" t="s">
        <v>42</v>
      </c>
      <c r="AB52" s="1"/>
      <c r="AC52" s="8">
        <v>371541.45137000002</v>
      </c>
      <c r="AD52" s="8">
        <v>-437106.91887200531</v>
      </c>
      <c r="AE52" s="8">
        <v>-508005.59124748461</v>
      </c>
      <c r="AF52" s="8">
        <f>VALUE(SUBSTITUTE(LEFT(Z52, FIND(" ", Z52) - 1), ",", ""))</f>
        <v>891621</v>
      </c>
      <c r="AG52" s="15">
        <f ca="1">(AF52/YEARFRAC(A52,TODAY())/P52)</f>
        <v>1515.3879237697229</v>
      </c>
      <c r="AI52" s="8">
        <f>VALUE(SUBSTITUTE(LEFT(X52, FIND(" ", X52) - 1), ",", ""))</f>
        <v>2122677</v>
      </c>
      <c r="AK52" s="20" t="str">
        <f>IF(AI52&gt;AC52, "YES","")</f>
        <v>YES</v>
      </c>
    </row>
    <row r="53" spans="1:37" hidden="1" x14ac:dyDescent="0.25">
      <c r="A53" s="5">
        <v>45153</v>
      </c>
      <c r="B53" s="1" t="s">
        <v>44</v>
      </c>
      <c r="C53" s="1">
        <v>38</v>
      </c>
      <c r="D53" s="1" t="s">
        <v>43</v>
      </c>
      <c r="E53" s="1" t="s">
        <v>33</v>
      </c>
      <c r="F53" s="1" t="s">
        <v>34</v>
      </c>
      <c r="G53" s="1" t="s">
        <v>58</v>
      </c>
      <c r="H53" s="1">
        <v>39</v>
      </c>
      <c r="I53" s="1" t="s">
        <v>36</v>
      </c>
      <c r="J53" s="1" t="s">
        <v>33</v>
      </c>
      <c r="K53" s="1" t="s">
        <v>37</v>
      </c>
      <c r="L53" s="1" t="s">
        <v>38</v>
      </c>
      <c r="M53" s="1">
        <v>1.35</v>
      </c>
      <c r="N53" s="1">
        <v>7.2</v>
      </c>
      <c r="O53" s="1">
        <v>19.5</v>
      </c>
      <c r="P53" s="1">
        <v>234.3</v>
      </c>
      <c r="Q53" s="20">
        <v>47423162</v>
      </c>
      <c r="R53" s="20">
        <v>35000000</v>
      </c>
      <c r="S53" s="8">
        <v>-4341510</v>
      </c>
      <c r="T53" s="1">
        <v>66</v>
      </c>
      <c r="U53" s="1">
        <v>80</v>
      </c>
      <c r="V53" s="1"/>
      <c r="W53" s="8">
        <v>-3805889</v>
      </c>
      <c r="X53" s="1" t="s">
        <v>334</v>
      </c>
      <c r="Y53" s="1" t="s">
        <v>335</v>
      </c>
      <c r="Z53" s="1" t="s">
        <v>336</v>
      </c>
      <c r="AA53" s="1"/>
      <c r="AB53" s="1"/>
      <c r="AC53" s="8">
        <v>92475.165899999993</v>
      </c>
      <c r="AD53" s="8">
        <v>143443.3300194389</v>
      </c>
      <c r="AE53" s="25">
        <v>-499859.738437169</v>
      </c>
      <c r="AF53" s="8">
        <f>VALUE(SUBSTITUTE(LEFT(Z53, FIND(" ", Z53) - 1), ",", ""))</f>
        <v>40514</v>
      </c>
      <c r="AG53" s="15">
        <f ca="1">(AF53/YEARFRAC(A53,TODAY())/P53)</f>
        <v>74.639596901224209</v>
      </c>
      <c r="AI53" s="8">
        <f>VALUE(SUBSTITUTE(LEFT(X53, FIND(" ", X53) - 1), ",", ""))</f>
        <v>204730</v>
      </c>
      <c r="AK53" s="20" t="str">
        <f>IF(AI53&gt;AC53, "YES","")</f>
        <v>YES</v>
      </c>
    </row>
    <row r="54" spans="1:37" hidden="1" x14ac:dyDescent="0.25">
      <c r="A54" s="5">
        <v>45265</v>
      </c>
      <c r="B54" s="1" t="s">
        <v>35</v>
      </c>
      <c r="C54" s="1">
        <v>39</v>
      </c>
      <c r="D54" s="1" t="s">
        <v>43</v>
      </c>
      <c r="E54" s="1" t="s">
        <v>33</v>
      </c>
      <c r="F54" s="1" t="s">
        <v>34</v>
      </c>
      <c r="G54" s="1" t="s">
        <v>58</v>
      </c>
      <c r="H54" s="1">
        <v>41</v>
      </c>
      <c r="I54" s="1" t="s">
        <v>284</v>
      </c>
      <c r="J54" s="1" t="s">
        <v>33</v>
      </c>
      <c r="K54" s="1" t="s">
        <v>37</v>
      </c>
      <c r="L54" s="1" t="s">
        <v>38</v>
      </c>
      <c r="M54" s="1">
        <v>0.96</v>
      </c>
      <c r="N54" s="1">
        <v>0.7</v>
      </c>
      <c r="O54" s="1">
        <v>118.2</v>
      </c>
      <c r="P54" s="1">
        <v>11245.5</v>
      </c>
      <c r="Q54" s="20">
        <v>4776995</v>
      </c>
      <c r="R54" s="20">
        <v>5000000</v>
      </c>
      <c r="S54" s="8">
        <v>-19244</v>
      </c>
      <c r="T54" s="1">
        <v>304</v>
      </c>
      <c r="U54" s="1">
        <v>290</v>
      </c>
      <c r="V54" s="1"/>
      <c r="W54" s="8">
        <v>405049</v>
      </c>
      <c r="X54" s="1" t="s">
        <v>353</v>
      </c>
      <c r="Y54" s="1" t="s">
        <v>354</v>
      </c>
      <c r="Z54" s="1" t="s">
        <v>355</v>
      </c>
      <c r="AA54" s="1"/>
      <c r="AB54" s="1"/>
      <c r="AC54" s="8">
        <v>56464.080900000001</v>
      </c>
      <c r="AD54" s="8">
        <v>-71646.6665790556</v>
      </c>
      <c r="AE54" s="25">
        <v>-462980.49456027482</v>
      </c>
      <c r="AF54" s="8">
        <f>VALUE(SUBSTITUTE(LEFT(Z54, FIND(" ", Z54) - 1), ",", ""))</f>
        <v>-188252</v>
      </c>
      <c r="AG54" s="15">
        <f ca="1">(AF54/YEARFRAC(A54,TODAY())/P54)</f>
        <v>-8.3238599307126169</v>
      </c>
      <c r="AI54" s="8">
        <f>VALUE(SUBSTITUTE(LEFT(X54, FIND(" ", X54) - 1), ",", ""))</f>
        <v>4992</v>
      </c>
      <c r="AK54" s="20" t="str">
        <f>IF(AI54&gt;AC54, "YES","")</f>
        <v/>
      </c>
    </row>
    <row r="55" spans="1:37" hidden="1" x14ac:dyDescent="0.25">
      <c r="A55" s="5">
        <v>45324</v>
      </c>
      <c r="B55" s="1" t="s">
        <v>44</v>
      </c>
      <c r="C55" s="1">
        <v>38</v>
      </c>
      <c r="D55" s="1" t="s">
        <v>43</v>
      </c>
      <c r="E55" s="1" t="s">
        <v>33</v>
      </c>
      <c r="F55" s="1" t="s">
        <v>34</v>
      </c>
      <c r="G55" s="1" t="s">
        <v>58</v>
      </c>
      <c r="H55" s="1">
        <v>41</v>
      </c>
      <c r="I55" s="1" t="s">
        <v>284</v>
      </c>
      <c r="J55" s="1" t="s">
        <v>33</v>
      </c>
      <c r="K55" s="1" t="s">
        <v>37</v>
      </c>
      <c r="L55" s="1" t="s">
        <v>118</v>
      </c>
      <c r="M55" s="1">
        <v>4.45</v>
      </c>
      <c r="N55" s="1">
        <v>-3.7</v>
      </c>
      <c r="O55" s="1">
        <v>38.700000000000003</v>
      </c>
      <c r="P55" s="1">
        <v>588.70000000000005</v>
      </c>
      <c r="Q55" s="8">
        <v>22253193</v>
      </c>
      <c r="R55" s="8">
        <v>5000000</v>
      </c>
      <c r="S55" s="8">
        <v>-97927</v>
      </c>
      <c r="T55" s="1">
        <v>46</v>
      </c>
      <c r="U55" s="1">
        <v>221</v>
      </c>
      <c r="V55" s="1"/>
      <c r="W55" s="8">
        <v>178656</v>
      </c>
      <c r="X55" s="1" t="s">
        <v>615</v>
      </c>
      <c r="Y55" s="1" t="s">
        <v>616</v>
      </c>
      <c r="Z55" s="1" t="s">
        <v>617</v>
      </c>
      <c r="AA55" s="1"/>
      <c r="AB55" s="1"/>
      <c r="AC55" s="8">
        <v>86119.856910000002</v>
      </c>
      <c r="AD55" s="8">
        <v>-142288.12426392891</v>
      </c>
      <c r="AE55" s="25">
        <v>-429389.48062983342</v>
      </c>
      <c r="AF55" s="8">
        <f>VALUE(SUBSTITUTE(LEFT(Z55, FIND(" ", Z55) - 1), ",", ""))</f>
        <v>-172882</v>
      </c>
      <c r="AG55" s="15">
        <f ca="1">(AF55/YEARFRAC(A55,TODAY())/P55)</f>
        <v>-158.50114691252978</v>
      </c>
      <c r="AH55" s="9" t="s">
        <v>1238</v>
      </c>
      <c r="AI55" s="8">
        <f>VALUE(SUBSTITUTE(LEFT(X55, FIND(" ", X55) - 1), ",", ""))</f>
        <v>4935</v>
      </c>
      <c r="AK55" s="20" t="str">
        <f>IF(AI55&gt;AC55, "YES","")</f>
        <v/>
      </c>
    </row>
    <row r="56" spans="1:37" hidden="1" x14ac:dyDescent="0.25">
      <c r="A56" s="5">
        <v>45306</v>
      </c>
      <c r="B56" s="1" t="s">
        <v>35</v>
      </c>
      <c r="C56" s="1">
        <v>39</v>
      </c>
      <c r="D56" s="1" t="s">
        <v>43</v>
      </c>
      <c r="E56" s="1" t="s">
        <v>33</v>
      </c>
      <c r="F56" s="1" t="s">
        <v>34</v>
      </c>
      <c r="G56" s="1" t="s">
        <v>58</v>
      </c>
      <c r="H56" s="1">
        <v>41</v>
      </c>
      <c r="I56" s="1" t="s">
        <v>284</v>
      </c>
      <c r="J56" s="1" t="s">
        <v>33</v>
      </c>
      <c r="K56" s="1" t="s">
        <v>37</v>
      </c>
      <c r="L56" s="1" t="s">
        <v>38</v>
      </c>
      <c r="M56" s="1">
        <v>0.93</v>
      </c>
      <c r="N56" s="1">
        <v>15.8</v>
      </c>
      <c r="O56" s="1">
        <v>169.5</v>
      </c>
      <c r="P56" s="1">
        <v>159.80000000000001</v>
      </c>
      <c r="Q56" s="20">
        <v>4661862</v>
      </c>
      <c r="R56" s="20">
        <v>5000000</v>
      </c>
      <c r="S56" s="8">
        <v>-63792</v>
      </c>
      <c r="T56" s="1">
        <v>259</v>
      </c>
      <c r="U56" s="1">
        <v>226</v>
      </c>
      <c r="V56" s="1"/>
      <c r="W56" s="8">
        <v>226710</v>
      </c>
      <c r="X56" s="1" t="s">
        <v>383</v>
      </c>
      <c r="Y56" s="1" t="s">
        <v>384</v>
      </c>
      <c r="Z56" s="1" t="s">
        <v>385</v>
      </c>
      <c r="AA56" s="1"/>
      <c r="AB56" s="1"/>
      <c r="AC56" s="8">
        <v>79018.560899999997</v>
      </c>
      <c r="AD56" s="8">
        <v>-22319.174963997211</v>
      </c>
      <c r="AE56" s="25">
        <v>-400121.5405951885</v>
      </c>
      <c r="AF56" s="8">
        <f>VALUE(SUBSTITUTE(LEFT(Z56, FIND(" ", Z56) - 1), ",", ""))</f>
        <v>-151061</v>
      </c>
      <c r="AG56" s="15">
        <f ca="1">(AF56/YEARFRAC(A56,TODAY())/P56)</f>
        <v>-497.53310058625914</v>
      </c>
      <c r="AI56" s="8">
        <f>VALUE(SUBSTITUTE(LEFT(X56, FIND(" ", X56) - 1), ",", ""))</f>
        <v>16711</v>
      </c>
      <c r="AK56" s="20" t="str">
        <f>IF(AI56&gt;AC56, "YES","")</f>
        <v/>
      </c>
    </row>
    <row r="57" spans="1:37" hidden="1" x14ac:dyDescent="0.25">
      <c r="A57" s="5">
        <v>45153</v>
      </c>
      <c r="B57" s="1" t="s">
        <v>31</v>
      </c>
      <c r="C57" s="1">
        <v>40</v>
      </c>
      <c r="D57" s="1" t="s">
        <v>43</v>
      </c>
      <c r="E57" s="1" t="s">
        <v>33</v>
      </c>
      <c r="F57" s="1" t="s">
        <v>37</v>
      </c>
      <c r="G57" s="1" t="s">
        <v>58</v>
      </c>
      <c r="H57" s="1">
        <v>38</v>
      </c>
      <c r="I57" s="1" t="s">
        <v>43</v>
      </c>
      <c r="J57" s="1" t="s">
        <v>33</v>
      </c>
      <c r="K57" s="1" t="s">
        <v>34</v>
      </c>
      <c r="L57" s="1" t="s">
        <v>118</v>
      </c>
      <c r="M57" s="1">
        <v>5.85</v>
      </c>
      <c r="N57" s="1">
        <v>-1.1000000000000001</v>
      </c>
      <c r="O57" s="1">
        <v>12.2</v>
      </c>
      <c r="P57" s="1">
        <v>207.6</v>
      </c>
      <c r="Q57" s="1">
        <v>146350279</v>
      </c>
      <c r="R57" s="1">
        <v>25000000</v>
      </c>
      <c r="S57" s="8">
        <v>-965427</v>
      </c>
      <c r="T57" s="1">
        <v>67</v>
      </c>
      <c r="U57" s="1">
        <v>387</v>
      </c>
      <c r="V57" s="1"/>
      <c r="W57" s="8">
        <v>1250981</v>
      </c>
      <c r="X57" s="1" t="s">
        <v>337</v>
      </c>
      <c r="Y57" s="1" t="s">
        <v>338</v>
      </c>
      <c r="Z57" s="1" t="s">
        <v>339</v>
      </c>
      <c r="AA57" s="1"/>
      <c r="AB57" s="1"/>
      <c r="AC57" s="8">
        <v>178547.34038000001</v>
      </c>
      <c r="AD57" s="8">
        <v>-1032747.448406024</v>
      </c>
      <c r="AE57" s="25">
        <v>-380492.98017408542</v>
      </c>
      <c r="AF57" s="8">
        <f>VALUE(SUBSTITUTE(LEFT(Z57, FIND(" ", Z57) - 1), ",", ""))</f>
        <v>-294231</v>
      </c>
      <c r="AG57" s="15">
        <f ca="1">(AF57/YEARFRAC(A57,TODAY())/P57)</f>
        <v>-611.78317461637619</v>
      </c>
      <c r="AI57" s="8">
        <f>VALUE(SUBSTITUTE(LEFT(X57, FIND(" ", X57) - 1), ",", ""))</f>
        <v>427325</v>
      </c>
      <c r="AK57" s="20" t="str">
        <f>IF(AI57&gt;AC57, "YES","")</f>
        <v>YES</v>
      </c>
    </row>
    <row r="58" spans="1:37" hidden="1" x14ac:dyDescent="0.25">
      <c r="A58" s="17">
        <v>45386</v>
      </c>
      <c r="B58" s="12" t="s">
        <v>31</v>
      </c>
      <c r="C58" s="12">
        <v>39</v>
      </c>
      <c r="D58" s="12" t="s">
        <v>43</v>
      </c>
      <c r="E58" s="12" t="s">
        <v>33</v>
      </c>
      <c r="F58" s="12" t="s">
        <v>34</v>
      </c>
      <c r="G58" s="12" t="s">
        <v>58</v>
      </c>
      <c r="H58" s="12">
        <v>41</v>
      </c>
      <c r="I58" s="12" t="s">
        <v>284</v>
      </c>
      <c r="J58" s="12" t="s">
        <v>33</v>
      </c>
      <c r="K58" s="12" t="s">
        <v>37</v>
      </c>
      <c r="L58" s="12" t="s">
        <v>38</v>
      </c>
      <c r="M58" s="12">
        <v>5.48</v>
      </c>
      <c r="N58" s="12">
        <v>6.5</v>
      </c>
      <c r="O58" s="12">
        <v>29.7</v>
      </c>
      <c r="P58" s="12">
        <v>19</v>
      </c>
      <c r="Q58" s="12">
        <v>27420134</v>
      </c>
      <c r="R58" s="12">
        <v>5000000</v>
      </c>
      <c r="S58" s="16">
        <v>-103012</v>
      </c>
      <c r="T58" s="12">
        <v>38</v>
      </c>
      <c r="U58" s="12">
        <v>175</v>
      </c>
      <c r="V58" s="12"/>
      <c r="W58" s="16">
        <v>77760</v>
      </c>
      <c r="X58" s="12" t="s">
        <v>1052</v>
      </c>
      <c r="Y58" s="12" t="s">
        <v>1053</v>
      </c>
      <c r="Z58" s="12" t="s">
        <v>1054</v>
      </c>
      <c r="AA58" s="12"/>
      <c r="AB58" s="1"/>
      <c r="AC58" s="8">
        <v>81437.797980000003</v>
      </c>
      <c r="AD58" s="8">
        <v>-25739.165048596969</v>
      </c>
      <c r="AE58" s="25">
        <v>-372482.45559892419</v>
      </c>
      <c r="AF58" s="8">
        <f>VALUE(SUBSTITUTE(LEFT(Z58, FIND(" ", Z58) - 1), ",", ""))</f>
        <v>-127556</v>
      </c>
      <c r="AG58" s="15">
        <f ca="1">(AF58/YEARFRAC(A58,TODAY())/P58)</f>
        <v>-3994.794258373206</v>
      </c>
      <c r="AI58" s="8">
        <f>VALUE(SUBSTITUTE(LEFT(X58, FIND(" ", X58) - 1), ",", ""))</f>
        <v>23177</v>
      </c>
      <c r="AK58" s="20" t="str">
        <f>IF(AI58&gt;AC58, "YES","")</f>
        <v/>
      </c>
    </row>
    <row r="59" spans="1:37" hidden="1" x14ac:dyDescent="0.25">
      <c r="A59" s="5">
        <v>45562</v>
      </c>
      <c r="B59" s="1" t="s">
        <v>35</v>
      </c>
      <c r="C59" s="1">
        <v>41</v>
      </c>
      <c r="D59" s="1" t="s">
        <v>43</v>
      </c>
      <c r="E59" s="1" t="s">
        <v>33</v>
      </c>
      <c r="F59" s="1" t="s">
        <v>37</v>
      </c>
      <c r="G59" s="1" t="s">
        <v>57</v>
      </c>
      <c r="H59" s="1">
        <v>40</v>
      </c>
      <c r="I59" s="1" t="s">
        <v>43</v>
      </c>
      <c r="J59" s="1" t="s">
        <v>33</v>
      </c>
      <c r="K59" s="1" t="s">
        <v>34</v>
      </c>
      <c r="L59" s="1" t="s">
        <v>118</v>
      </c>
      <c r="M59" s="1">
        <v>0.36</v>
      </c>
      <c r="N59" s="1">
        <v>-8</v>
      </c>
      <c r="O59" s="1">
        <v>56.7</v>
      </c>
      <c r="P59" s="1">
        <v>1695.5</v>
      </c>
      <c r="Q59" s="20">
        <v>8903317</v>
      </c>
      <c r="R59" s="20">
        <v>25000000</v>
      </c>
      <c r="S59" s="8">
        <v>-859107</v>
      </c>
      <c r="T59" s="1">
        <v>271</v>
      </c>
      <c r="U59" s="1">
        <v>93</v>
      </c>
      <c r="V59" s="1"/>
      <c r="W59" s="8">
        <v>-858656</v>
      </c>
      <c r="X59" s="1" t="s">
        <v>505</v>
      </c>
      <c r="Y59" s="1" t="s">
        <v>506</v>
      </c>
      <c r="Z59" s="1" t="s">
        <v>507</v>
      </c>
      <c r="AA59" s="1" t="s">
        <v>42</v>
      </c>
      <c r="AB59" s="1"/>
      <c r="AC59" s="8">
        <v>50481.807390000002</v>
      </c>
      <c r="AD59" s="8">
        <v>-157365.8350141001</v>
      </c>
      <c r="AE59" s="25">
        <v>-346176.11411796499</v>
      </c>
      <c r="AF59" s="8">
        <f>VALUE(SUBSTITUTE(LEFT(Z59, FIND(" ", Z59) - 1), ",", ""))</f>
        <v>133674</v>
      </c>
      <c r="AG59" s="15">
        <f ca="1">(AF59/YEARFRAC(A59,TODAY())/P59)</f>
        <v>65.700383367738127</v>
      </c>
      <c r="AI59" s="8">
        <f>VALUE(SUBSTITUTE(LEFT(X59, FIND(" ", X59) - 1), ",", ""))</f>
        <v>330111</v>
      </c>
      <c r="AK59" s="20" t="str">
        <f>IF(AI59&gt;AC59, "YES","")</f>
        <v>YES</v>
      </c>
    </row>
    <row r="60" spans="1:37" hidden="1" x14ac:dyDescent="0.25">
      <c r="A60" s="5">
        <v>45561</v>
      </c>
      <c r="B60" s="1" t="s">
        <v>35</v>
      </c>
      <c r="C60" s="1">
        <v>41</v>
      </c>
      <c r="D60" s="1" t="s">
        <v>43</v>
      </c>
      <c r="E60" s="1" t="s">
        <v>33</v>
      </c>
      <c r="F60" s="1" t="s">
        <v>37</v>
      </c>
      <c r="G60" s="1" t="s">
        <v>57</v>
      </c>
      <c r="H60" s="1">
        <v>40</v>
      </c>
      <c r="I60" s="1" t="s">
        <v>43</v>
      </c>
      <c r="J60" s="1" t="s">
        <v>33</v>
      </c>
      <c r="K60" s="1" t="s">
        <v>34</v>
      </c>
      <c r="L60" s="1" t="s">
        <v>118</v>
      </c>
      <c r="M60" s="1">
        <v>0.36</v>
      </c>
      <c r="N60" s="1">
        <v>-6.5</v>
      </c>
      <c r="O60" s="1">
        <v>62.9</v>
      </c>
      <c r="P60" s="1">
        <v>1893.8</v>
      </c>
      <c r="Q60" s="20">
        <v>8898936</v>
      </c>
      <c r="R60" s="20">
        <v>25000000</v>
      </c>
      <c r="S60" s="8">
        <v>-863656</v>
      </c>
      <c r="T60" s="1">
        <v>271</v>
      </c>
      <c r="U60" s="1">
        <v>94</v>
      </c>
      <c r="V60" s="1"/>
      <c r="W60" s="8">
        <v>-863656</v>
      </c>
      <c r="X60" s="1" t="s">
        <v>850</v>
      </c>
      <c r="Y60" s="1" t="s">
        <v>851</v>
      </c>
      <c r="Z60" s="1" t="s">
        <v>852</v>
      </c>
      <c r="AA60" s="1" t="s">
        <v>42</v>
      </c>
      <c r="AB60" s="1"/>
      <c r="AC60" s="8">
        <v>55974.307439999997</v>
      </c>
      <c r="AD60" s="8">
        <v>-146246.3905730322</v>
      </c>
      <c r="AE60" s="25">
        <v>-335502.36289824749</v>
      </c>
      <c r="AF60" s="8">
        <f>VALUE(SUBSTITUTE(LEFT(Z60, FIND(" ", Z60) - 1), ",", ""))</f>
        <v>144635</v>
      </c>
      <c r="AG60" s="15">
        <f ca="1">(AF60/YEARFRAC(A60,TODAY())/P60)</f>
        <v>63.49710017641133</v>
      </c>
      <c r="AI60" s="8">
        <f>VALUE(SUBSTITUTE(LEFT(X60, FIND(" ", X60) - 1), ",", ""))</f>
        <v>340790</v>
      </c>
      <c r="AK60" s="20" t="str">
        <f>IF(AI60&gt;AC60, "YES","")</f>
        <v>YES</v>
      </c>
    </row>
    <row r="61" spans="1:37" hidden="1" x14ac:dyDescent="0.25">
      <c r="A61" s="5">
        <v>44980</v>
      </c>
      <c r="B61" s="1" t="s">
        <v>31</v>
      </c>
      <c r="C61" s="1">
        <v>38</v>
      </c>
      <c r="D61" s="1" t="s">
        <v>43</v>
      </c>
      <c r="E61" s="1" t="s">
        <v>33</v>
      </c>
      <c r="F61" s="1" t="s">
        <v>34</v>
      </c>
      <c r="G61" s="1" t="s">
        <v>31</v>
      </c>
      <c r="H61" s="1">
        <v>37</v>
      </c>
      <c r="I61" s="1" t="s">
        <v>252</v>
      </c>
      <c r="J61" s="1" t="s">
        <v>33</v>
      </c>
      <c r="K61" s="1" t="s">
        <v>37</v>
      </c>
      <c r="L61" s="1" t="s">
        <v>118</v>
      </c>
      <c r="M61" s="1">
        <v>0.25</v>
      </c>
      <c r="N61" s="1">
        <v>-2.8</v>
      </c>
      <c r="O61" s="1">
        <v>23.4</v>
      </c>
      <c r="P61" s="1">
        <v>403.4</v>
      </c>
      <c r="Q61" s="8">
        <v>30001888</v>
      </c>
      <c r="R61" s="8">
        <v>120000000</v>
      </c>
      <c r="S61" s="8">
        <v>-2669464</v>
      </c>
      <c r="T61" s="1">
        <v>66</v>
      </c>
      <c r="U61" s="1">
        <v>17</v>
      </c>
      <c r="V61" s="1"/>
      <c r="W61" s="8">
        <v>-2316847</v>
      </c>
      <c r="X61" s="1" t="s">
        <v>253</v>
      </c>
      <c r="Y61" s="1" t="s">
        <v>254</v>
      </c>
      <c r="Z61" s="1" t="s">
        <v>255</v>
      </c>
      <c r="AA61" s="1"/>
      <c r="AB61" s="1"/>
      <c r="AC61" s="14">
        <v>70204.417920000007</v>
      </c>
      <c r="AD61" s="14">
        <v>75782.787521971157</v>
      </c>
      <c r="AE61" s="25">
        <v>-330081.40993494861</v>
      </c>
      <c r="AF61" s="14">
        <f>VALUE(SUBSTITUTE(LEFT(Z61, FIND(" ", Z61) - 1), ",", ""))</f>
        <v>-32694</v>
      </c>
      <c r="AG61" s="13">
        <f ca="1">(AF61/YEARFRAC(A61,TODAY())/P61)</f>
        <v>-29.002583408818285</v>
      </c>
      <c r="AH61" s="19" t="s">
        <v>1238</v>
      </c>
      <c r="AI61" s="14">
        <f>VALUE(SUBSTITUTE(LEFT(X61, FIND(" ", X61) - 1), ",", ""))</f>
        <v>117318</v>
      </c>
      <c r="AK61" s="20" t="str">
        <f>IF(AI61&gt;AC61, "YES","")</f>
        <v>YES</v>
      </c>
    </row>
    <row r="62" spans="1:37" hidden="1" x14ac:dyDescent="0.25">
      <c r="A62" s="5">
        <v>45469</v>
      </c>
      <c r="B62" s="1" t="s">
        <v>31</v>
      </c>
      <c r="C62" s="1">
        <v>42</v>
      </c>
      <c r="D62" s="1" t="s">
        <v>43</v>
      </c>
      <c r="E62" s="1" t="s">
        <v>33</v>
      </c>
      <c r="F62" s="1" t="s">
        <v>37</v>
      </c>
      <c r="G62" s="1" t="s">
        <v>57</v>
      </c>
      <c r="H62" s="1">
        <v>41</v>
      </c>
      <c r="I62" s="1" t="s">
        <v>43</v>
      </c>
      <c r="J62" s="1" t="s">
        <v>33</v>
      </c>
      <c r="K62" s="1" t="s">
        <v>34</v>
      </c>
      <c r="L62" s="1" t="s">
        <v>118</v>
      </c>
      <c r="M62" s="1">
        <v>2.41</v>
      </c>
      <c r="N62" s="1">
        <v>-0.9</v>
      </c>
      <c r="O62" s="1">
        <v>18.2</v>
      </c>
      <c r="P62" s="1">
        <v>471.5</v>
      </c>
      <c r="Q62" s="20">
        <v>120433809</v>
      </c>
      <c r="R62" s="20">
        <v>50000000</v>
      </c>
      <c r="S62" s="8">
        <v>-2859803</v>
      </c>
      <c r="T62" s="1">
        <v>54</v>
      </c>
      <c r="U62" s="1">
        <v>128</v>
      </c>
      <c r="V62" s="1"/>
      <c r="W62" s="8">
        <v>-2487880</v>
      </c>
      <c r="X62" s="1" t="s">
        <v>747</v>
      </c>
      <c r="Y62" s="1" t="s">
        <v>748</v>
      </c>
      <c r="Z62" s="1" t="s">
        <v>749</v>
      </c>
      <c r="AA62" s="1" t="s">
        <v>42</v>
      </c>
      <c r="AB62" s="1"/>
      <c r="AC62" s="8">
        <v>219189.53237999999</v>
      </c>
      <c r="AD62" s="8">
        <v>-51535.865440109737</v>
      </c>
      <c r="AE62" s="8">
        <v>-316906.65208760789</v>
      </c>
      <c r="AF62" s="8">
        <f>VALUE(SUBSTITUTE(LEFT(Z62, FIND(" ", Z62) - 1), ",", ""))</f>
        <v>635035</v>
      </c>
      <c r="AG62" s="15">
        <f ca="1">(AF62/YEARFRAC(A62,TODAY())/P62)</f>
        <v>927.07907110661438</v>
      </c>
      <c r="AI62" s="8">
        <f>VALUE(SUBSTITUTE(LEFT(X62, FIND(" ", X62) - 1), ",", ""))</f>
        <v>875365</v>
      </c>
      <c r="AK62" s="20" t="str">
        <f>IF(AI62&gt;AC62, "YES","")</f>
        <v>YES</v>
      </c>
    </row>
    <row r="63" spans="1:37" hidden="1" x14ac:dyDescent="0.25">
      <c r="A63" s="5">
        <v>45623</v>
      </c>
      <c r="B63" s="1" t="s">
        <v>31</v>
      </c>
      <c r="C63" s="1">
        <v>43</v>
      </c>
      <c r="D63" s="1" t="s">
        <v>43</v>
      </c>
      <c r="E63" s="1" t="s">
        <v>33</v>
      </c>
      <c r="F63" s="1" t="s">
        <v>37</v>
      </c>
      <c r="G63" s="1" t="s">
        <v>57</v>
      </c>
      <c r="H63" s="1">
        <v>42</v>
      </c>
      <c r="I63" s="1" t="s">
        <v>43</v>
      </c>
      <c r="J63" s="1" t="s">
        <v>33</v>
      </c>
      <c r="K63" s="1" t="s">
        <v>34</v>
      </c>
      <c r="L63" s="1" t="s">
        <v>118</v>
      </c>
      <c r="M63" s="1">
        <v>2.41</v>
      </c>
      <c r="N63" s="1">
        <v>-0.6</v>
      </c>
      <c r="O63" s="1">
        <v>17.100000000000001</v>
      </c>
      <c r="P63" s="1">
        <v>648.79999999999995</v>
      </c>
      <c r="Q63" s="20">
        <v>120340609</v>
      </c>
      <c r="R63" s="20">
        <v>50000000</v>
      </c>
      <c r="S63" s="8">
        <v>-2817873</v>
      </c>
      <c r="T63" s="1">
        <v>48</v>
      </c>
      <c r="U63" s="1">
        <v>114</v>
      </c>
      <c r="V63" s="1"/>
      <c r="W63" s="8">
        <v>-2353002</v>
      </c>
      <c r="X63" s="1" t="s">
        <v>883</v>
      </c>
      <c r="Y63" s="1" t="s">
        <v>884</v>
      </c>
      <c r="Z63" s="1" t="s">
        <v>885</v>
      </c>
      <c r="AA63" s="1" t="s">
        <v>42</v>
      </c>
      <c r="AB63" s="1"/>
      <c r="AC63" s="8">
        <v>205782.44138999999</v>
      </c>
      <c r="AD63" s="8">
        <v>-38650.165631211363</v>
      </c>
      <c r="AE63" s="8">
        <v>-307134.97275511501</v>
      </c>
      <c r="AF63" s="8">
        <f>VALUE(SUBSTITUTE(LEFT(Z63, FIND(" ", Z63) - 1), ",", ""))</f>
        <v>578067</v>
      </c>
      <c r="AG63" s="15">
        <f ca="1">(AF63/YEARFRAC(A63,TODAY())/P63)</f>
        <v>862.23748060936316</v>
      </c>
      <c r="AI63" s="8">
        <f>VALUE(SUBSTITUTE(LEFT(X63, FIND(" ", X63) - 1), ",", ""))</f>
        <v>894088</v>
      </c>
      <c r="AK63" s="20" t="str">
        <f>IF(AI63&gt;AC63, "YES","")</f>
        <v>YES</v>
      </c>
    </row>
    <row r="64" spans="1:37" hidden="1" x14ac:dyDescent="0.25">
      <c r="A64" s="5">
        <v>45447</v>
      </c>
      <c r="B64" s="1" t="s">
        <v>58</v>
      </c>
      <c r="C64" s="1">
        <v>39</v>
      </c>
      <c r="D64" s="1" t="s">
        <v>43</v>
      </c>
      <c r="E64" s="1" t="s">
        <v>33</v>
      </c>
      <c r="F64" s="1" t="s">
        <v>34</v>
      </c>
      <c r="G64" s="1" t="s">
        <v>35</v>
      </c>
      <c r="H64" s="1">
        <v>40</v>
      </c>
      <c r="I64" s="1" t="s">
        <v>49</v>
      </c>
      <c r="J64" s="1" t="s">
        <v>33</v>
      </c>
      <c r="K64" s="1" t="s">
        <v>37</v>
      </c>
      <c r="L64" s="1" t="s">
        <v>38</v>
      </c>
      <c r="M64" s="1">
        <v>1.55</v>
      </c>
      <c r="N64" s="1">
        <v>140.9</v>
      </c>
      <c r="O64" s="1">
        <v>55.9</v>
      </c>
      <c r="P64" s="1">
        <v>25.6</v>
      </c>
      <c r="Q64" s="20">
        <v>15000000</v>
      </c>
      <c r="R64" s="20">
        <v>9698133</v>
      </c>
      <c r="S64" s="8">
        <v>-283270</v>
      </c>
      <c r="T64" s="1">
        <v>283</v>
      </c>
      <c r="U64" s="1">
        <v>220</v>
      </c>
      <c r="V64" s="1"/>
      <c r="W64" s="8">
        <v>-106349</v>
      </c>
      <c r="X64" s="1" t="s">
        <v>730</v>
      </c>
      <c r="Y64" s="1" t="s">
        <v>731</v>
      </c>
      <c r="Z64" s="1" t="s">
        <v>732</v>
      </c>
      <c r="AA64" s="1" t="s">
        <v>733</v>
      </c>
      <c r="AB64" s="1"/>
      <c r="AC64" s="8">
        <v>83849.999999999985</v>
      </c>
      <c r="AD64" s="8">
        <v>534229.11112936365</v>
      </c>
      <c r="AE64" s="8">
        <v>-291427.41402560961</v>
      </c>
      <c r="AF64" s="8">
        <f>VALUE(SUBSTITUTE(LEFT(Z64, FIND(" ", Z64) - 1), ",", ""))</f>
        <v>90909</v>
      </c>
      <c r="AG64" s="15">
        <f ca="1">(AF64/YEARFRAC(A64,TODAY())/P64)</f>
        <v>2345.7024082568805</v>
      </c>
      <c r="AI64" s="8">
        <f>VALUE(SUBSTITUTE(LEFT(X64, FIND(" ", X64) - 1), ",", ""))</f>
        <v>221315</v>
      </c>
      <c r="AK64" s="20" t="str">
        <f>IF(AI64&gt;AC64, "YES","")</f>
        <v>YES</v>
      </c>
    </row>
    <row r="65" spans="1:37" hidden="1" x14ac:dyDescent="0.25">
      <c r="A65" s="17">
        <v>45867</v>
      </c>
      <c r="B65" s="12" t="s">
        <v>58</v>
      </c>
      <c r="C65" s="12">
        <v>42</v>
      </c>
      <c r="D65" s="12" t="s">
        <v>43</v>
      </c>
      <c r="E65" s="12" t="s">
        <v>33</v>
      </c>
      <c r="F65" s="12" t="s">
        <v>34</v>
      </c>
      <c r="G65" s="12" t="s">
        <v>58</v>
      </c>
      <c r="H65" s="12">
        <v>43</v>
      </c>
      <c r="I65" s="12" t="s">
        <v>36</v>
      </c>
      <c r="J65" s="12" t="s">
        <v>33</v>
      </c>
      <c r="K65" s="12" t="s">
        <v>37</v>
      </c>
      <c r="L65" s="12" t="s">
        <v>38</v>
      </c>
      <c r="M65" s="12">
        <v>0.31</v>
      </c>
      <c r="N65" s="12">
        <v>89</v>
      </c>
      <c r="O65" s="12">
        <v>59.2</v>
      </c>
      <c r="P65" s="12">
        <v>21.8</v>
      </c>
      <c r="Q65" s="16">
        <v>10900000</v>
      </c>
      <c r="R65" s="16">
        <v>35000000</v>
      </c>
      <c r="S65" s="16">
        <v>-4568264</v>
      </c>
      <c r="T65" s="12">
        <v>275</v>
      </c>
      <c r="U65" s="12">
        <v>54</v>
      </c>
      <c r="V65" s="12"/>
      <c r="W65" s="16">
        <v>-4038410</v>
      </c>
      <c r="X65" s="12" t="s">
        <v>1221</v>
      </c>
      <c r="Y65" s="12" t="s">
        <v>1222</v>
      </c>
      <c r="Z65" s="12" t="s">
        <v>1223</v>
      </c>
      <c r="AA65" s="12"/>
      <c r="AB65" s="1"/>
      <c r="AC65" s="8">
        <v>64528</v>
      </c>
      <c r="AD65" s="8">
        <v>336480.49281314178</v>
      </c>
      <c r="AE65" s="25">
        <v>-289511.28575866122</v>
      </c>
      <c r="AF65" s="8">
        <f>VALUE(SUBSTITUTE(LEFT(Z65, FIND(" ", Z65) - 1), ",", ""))</f>
        <v>-26229</v>
      </c>
      <c r="AG65" s="15">
        <f ca="1">(AF65/YEARFRAC(A65,TODAY())/P65)</f>
        <v>-3331.8419195483411</v>
      </c>
      <c r="AH65" s="9" t="s">
        <v>1238</v>
      </c>
      <c r="AI65" s="8">
        <f>VALUE(SUBSTITUTE(LEFT(X65, FIND(" ", X65) - 1), ",", ""))</f>
        <v>8041</v>
      </c>
      <c r="AK65" s="20" t="str">
        <f>IF(AI65&gt;AC65, "YES","")</f>
        <v/>
      </c>
    </row>
    <row r="66" spans="1:37" hidden="1" x14ac:dyDescent="0.25">
      <c r="A66" s="5">
        <v>44749</v>
      </c>
      <c r="B66" s="1" t="s">
        <v>58</v>
      </c>
      <c r="C66" s="1">
        <v>37</v>
      </c>
      <c r="D66" s="1" t="s">
        <v>43</v>
      </c>
      <c r="E66" s="1" t="s">
        <v>33</v>
      </c>
      <c r="F66" s="1" t="s">
        <v>37</v>
      </c>
      <c r="G66" s="1" t="s">
        <v>58</v>
      </c>
      <c r="H66" s="1">
        <v>36</v>
      </c>
      <c r="I66" s="1" t="s">
        <v>43</v>
      </c>
      <c r="J66" s="1" t="s">
        <v>33</v>
      </c>
      <c r="K66" s="1" t="s">
        <v>34</v>
      </c>
      <c r="L66" s="1" t="s">
        <v>38</v>
      </c>
      <c r="M66" s="1">
        <v>0.96</v>
      </c>
      <c r="N66" s="1">
        <v>35.4</v>
      </c>
      <c r="O66" s="1">
        <v>60.4</v>
      </c>
      <c r="P66" s="1">
        <v>211.2</v>
      </c>
      <c r="Q66" s="20">
        <v>23974166</v>
      </c>
      <c r="R66" s="20">
        <v>25000000</v>
      </c>
      <c r="S66" s="8">
        <v>-98648</v>
      </c>
      <c r="T66" s="1">
        <v>491</v>
      </c>
      <c r="U66" s="1">
        <v>500</v>
      </c>
      <c r="V66" s="1"/>
      <c r="W66" s="8">
        <v>3695965</v>
      </c>
      <c r="X66" s="1" t="s">
        <v>194</v>
      </c>
      <c r="Y66" s="1" t="s">
        <v>195</v>
      </c>
      <c r="Z66" s="1" t="s">
        <v>196</v>
      </c>
      <c r="AA66" s="1" t="s">
        <v>42</v>
      </c>
      <c r="AB66" s="1"/>
      <c r="AC66" s="8">
        <v>144803.96264000001</v>
      </c>
      <c r="AD66" s="8">
        <v>-301692.08165968489</v>
      </c>
      <c r="AE66" s="25">
        <v>-286622.01973071741</v>
      </c>
      <c r="AF66" s="8">
        <f>VALUE(SUBSTITUTE(LEFT(Z66, FIND(" ", Z66) - 1), ",", ""))</f>
        <v>192921</v>
      </c>
      <c r="AG66" s="15">
        <f ca="1">(AF66/YEARFRAC(A66,TODAY())/P66)</f>
        <v>266.91770587367182</v>
      </c>
      <c r="AI66" s="8">
        <f>VALUE(SUBSTITUTE(LEFT(X66, FIND(" ", X66) - 1), ",", ""))</f>
        <v>953349</v>
      </c>
      <c r="AK66" s="20" t="str">
        <f>IF(AI66&gt;AC66, "YES","")</f>
        <v>YES</v>
      </c>
    </row>
    <row r="67" spans="1:37" hidden="1" x14ac:dyDescent="0.25">
      <c r="A67" s="17">
        <v>45915</v>
      </c>
      <c r="B67" s="12" t="s">
        <v>58</v>
      </c>
      <c r="C67" s="12">
        <v>42</v>
      </c>
      <c r="D67" s="12" t="s">
        <v>43</v>
      </c>
      <c r="E67" s="12" t="s">
        <v>33</v>
      </c>
      <c r="F67" s="12" t="s">
        <v>34</v>
      </c>
      <c r="G67" s="12" t="s">
        <v>58</v>
      </c>
      <c r="H67" s="12">
        <v>43</v>
      </c>
      <c r="I67" s="12" t="s">
        <v>36</v>
      </c>
      <c r="J67" s="12" t="s">
        <v>33</v>
      </c>
      <c r="K67" s="12" t="s">
        <v>37</v>
      </c>
      <c r="L67" s="12" t="s">
        <v>38</v>
      </c>
      <c r="M67" s="12">
        <v>0.31</v>
      </c>
      <c r="N67" s="12">
        <v>89.6</v>
      </c>
      <c r="O67" s="12">
        <v>56</v>
      </c>
      <c r="P67" s="12">
        <v>22.5</v>
      </c>
      <c r="Q67" s="10">
        <v>11000000</v>
      </c>
      <c r="R67" s="10">
        <v>35000000</v>
      </c>
      <c r="S67" s="16">
        <v>-4574916</v>
      </c>
      <c r="T67" s="12">
        <v>261</v>
      </c>
      <c r="U67" s="12">
        <v>48</v>
      </c>
      <c r="V67" s="12"/>
      <c r="W67" s="16">
        <v>-3988589</v>
      </c>
      <c r="X67" s="12" t="s">
        <v>1233</v>
      </c>
      <c r="Y67" s="12" t="s">
        <v>1234</v>
      </c>
      <c r="Z67" s="12" t="s">
        <v>1235</v>
      </c>
      <c r="AA67" s="12"/>
      <c r="AB67" s="1"/>
      <c r="AC67" s="8">
        <v>61600</v>
      </c>
      <c r="AD67" s="8">
        <v>363858.72689938411</v>
      </c>
      <c r="AE67" s="25">
        <v>-258250.54835797471</v>
      </c>
      <c r="AF67" s="8">
        <f>VALUE(SUBSTITUTE(LEFT(Z67, FIND(" ", Z67) - 1), ",", ""))</f>
        <v>-10159</v>
      </c>
      <c r="AG67" s="15">
        <f ca="1">(AF67/YEARFRAC(A67,TODAY())/P67)</f>
        <v>-1935.047619047619</v>
      </c>
      <c r="AI67" s="8">
        <f>VALUE(SUBSTITUTE(LEFT(X67, FIND(" ", X67) - 1), ",", ""))</f>
        <v>9800</v>
      </c>
      <c r="AK67" s="20" t="str">
        <f>IF(AI67&gt;AC67, "YES","")</f>
        <v/>
      </c>
    </row>
    <row r="68" spans="1:37" hidden="1" x14ac:dyDescent="0.25">
      <c r="A68" s="5">
        <v>45469</v>
      </c>
      <c r="B68" s="1" t="s">
        <v>31</v>
      </c>
      <c r="C68" s="1">
        <v>41</v>
      </c>
      <c r="D68" s="1" t="s">
        <v>43</v>
      </c>
      <c r="E68" s="1" t="s">
        <v>33</v>
      </c>
      <c r="F68" s="1" t="s">
        <v>37</v>
      </c>
      <c r="G68" s="1" t="s">
        <v>57</v>
      </c>
      <c r="H68" s="1">
        <v>40</v>
      </c>
      <c r="I68" s="1" t="s">
        <v>43</v>
      </c>
      <c r="J68" s="1" t="s">
        <v>33</v>
      </c>
      <c r="K68" s="1" t="s">
        <v>34</v>
      </c>
      <c r="L68" s="1" t="s">
        <v>118</v>
      </c>
      <c r="M68" s="1">
        <v>2.4</v>
      </c>
      <c r="N68" s="1">
        <v>-0.9</v>
      </c>
      <c r="O68" s="1">
        <v>10.1</v>
      </c>
      <c r="P68" s="1">
        <v>704.3</v>
      </c>
      <c r="Q68" s="20">
        <v>95813869</v>
      </c>
      <c r="R68" s="20">
        <v>40000000</v>
      </c>
      <c r="S68" s="8">
        <v>-2011914</v>
      </c>
      <c r="T68" s="1">
        <v>48</v>
      </c>
      <c r="U68" s="1">
        <v>113</v>
      </c>
      <c r="V68" s="1"/>
      <c r="W68" s="8">
        <v>-1680989</v>
      </c>
      <c r="X68" s="1" t="s">
        <v>744</v>
      </c>
      <c r="Y68" s="1" t="s">
        <v>745</v>
      </c>
      <c r="Z68" s="1" t="s">
        <v>746</v>
      </c>
      <c r="AA68" s="1" t="s">
        <v>42</v>
      </c>
      <c r="AB68" s="1"/>
      <c r="AC68" s="8">
        <v>96772.007689999999</v>
      </c>
      <c r="AD68" s="8">
        <v>-35457.805956467993</v>
      </c>
      <c r="AE68" s="8">
        <v>-245771.16471136219</v>
      </c>
      <c r="AF68" s="8">
        <f>VALUE(SUBSTITUTE(LEFT(Z68, FIND(" ", Z68) - 1), ",", ""))</f>
        <v>422555</v>
      </c>
      <c r="AG68" s="15">
        <f ca="1">(AF68/YEARFRAC(A68,TODAY())/P68)</f>
        <v>412.97747868936221</v>
      </c>
      <c r="AI68" s="8">
        <f>VALUE(SUBSTITUTE(LEFT(X68, FIND(" ", X68) - 1), ",", ""))</f>
        <v>1045044</v>
      </c>
      <c r="AK68" s="20" t="str">
        <f>IF(AI68&gt;AC68, "YES","")</f>
        <v>YES</v>
      </c>
    </row>
    <row r="69" spans="1:37" hidden="1" x14ac:dyDescent="0.25">
      <c r="A69" s="5">
        <v>45688</v>
      </c>
      <c r="B69" s="1" t="s">
        <v>57</v>
      </c>
      <c r="C69" s="1">
        <v>40</v>
      </c>
      <c r="D69" s="1" t="s">
        <v>43</v>
      </c>
      <c r="E69" s="1" t="s">
        <v>33</v>
      </c>
      <c r="F69" s="1" t="s">
        <v>34</v>
      </c>
      <c r="G69" s="1" t="s">
        <v>35</v>
      </c>
      <c r="H69" s="1">
        <v>40</v>
      </c>
      <c r="I69" s="1" t="s">
        <v>43</v>
      </c>
      <c r="J69" s="1" t="s">
        <v>33</v>
      </c>
      <c r="K69" s="1" t="s">
        <v>37</v>
      </c>
      <c r="L69" s="1" t="s">
        <v>118</v>
      </c>
      <c r="M69" s="1">
        <v>2.2400000000000002</v>
      </c>
      <c r="N69" s="1">
        <v>-20</v>
      </c>
      <c r="O69" s="1">
        <v>33.6</v>
      </c>
      <c r="P69" s="1">
        <v>83.5</v>
      </c>
      <c r="Q69" s="20">
        <v>25000000</v>
      </c>
      <c r="R69" s="20">
        <v>11171338</v>
      </c>
      <c r="S69" s="8">
        <v>-935135</v>
      </c>
      <c r="T69" s="1">
        <v>82</v>
      </c>
      <c r="U69" s="1">
        <v>229</v>
      </c>
      <c r="V69" s="1"/>
      <c r="W69" s="8">
        <v>-807450</v>
      </c>
      <c r="X69" s="1" t="s">
        <v>954</v>
      </c>
      <c r="Y69" s="1" t="s">
        <v>955</v>
      </c>
      <c r="Z69" s="1" t="s">
        <v>956</v>
      </c>
      <c r="AA69" s="1"/>
      <c r="AB69" s="1"/>
      <c r="AC69" s="8">
        <v>84000</v>
      </c>
      <c r="AD69" s="8">
        <v>-197450.36398028731</v>
      </c>
      <c r="AE69" s="8">
        <v>-239328.41759111141</v>
      </c>
      <c r="AF69" s="8">
        <f>VALUE(SUBSTITUTE(LEFT(Z69, FIND(" ", Z69) - 1), ",", ""))</f>
        <v>39955</v>
      </c>
      <c r="AG69" s="15">
        <f ca="1">(AF69/YEARFRAC(A69,TODAY())/P69)</f>
        <v>557.47921632463238</v>
      </c>
      <c r="AI69" s="8">
        <f>VALUE(SUBSTITUTE(LEFT(X69, FIND(" ", X69) - 1), ",", ""))</f>
        <v>318257</v>
      </c>
      <c r="AK69" s="20" t="str">
        <f>IF(AI69&gt;AC69, "YES","")</f>
        <v>YES</v>
      </c>
    </row>
    <row r="70" spans="1:37" hidden="1" x14ac:dyDescent="0.25">
      <c r="A70" s="5">
        <v>45373</v>
      </c>
      <c r="B70" s="20" t="s">
        <v>35</v>
      </c>
      <c r="C70" s="20">
        <v>41</v>
      </c>
      <c r="D70" s="20" t="s">
        <v>43</v>
      </c>
      <c r="E70" s="20" t="s">
        <v>33</v>
      </c>
      <c r="F70" s="20" t="s">
        <v>37</v>
      </c>
      <c r="G70" s="20" t="s">
        <v>35</v>
      </c>
      <c r="H70" s="20">
        <v>40</v>
      </c>
      <c r="I70" s="20" t="s">
        <v>43</v>
      </c>
      <c r="J70" s="20" t="s">
        <v>33</v>
      </c>
      <c r="K70" s="20" t="s">
        <v>34</v>
      </c>
      <c r="L70" s="20" t="s">
        <v>38</v>
      </c>
      <c r="M70" s="20">
        <v>1</v>
      </c>
      <c r="N70" s="20">
        <v>15</v>
      </c>
      <c r="O70" s="20">
        <v>23.3</v>
      </c>
      <c r="P70" s="20">
        <v>180.4</v>
      </c>
      <c r="Q70" s="20">
        <v>39988043</v>
      </c>
      <c r="R70" s="20">
        <v>40000000</v>
      </c>
      <c r="S70" s="8">
        <v>-602769</v>
      </c>
      <c r="T70" s="20">
        <v>302</v>
      </c>
      <c r="U70" s="20">
        <v>315</v>
      </c>
      <c r="V70" s="20"/>
      <c r="W70" s="8">
        <v>-602769</v>
      </c>
      <c r="X70" s="20" t="s">
        <v>641</v>
      </c>
      <c r="Y70" s="20" t="s">
        <v>642</v>
      </c>
      <c r="Z70" s="20" t="s">
        <v>643</v>
      </c>
      <c r="AA70" s="20" t="s">
        <v>42</v>
      </c>
      <c r="AB70" s="1"/>
      <c r="AC70" s="8">
        <v>93172.140190000006</v>
      </c>
      <c r="AD70" s="8">
        <v>-353172.15528432652</v>
      </c>
      <c r="AE70" s="8">
        <v>-211251.32695652079</v>
      </c>
      <c r="AF70" s="8">
        <f>VALUE(SUBSTITUTE(LEFT(Z70, FIND(" ", Z70) - 1), ",", ""))</f>
        <v>688215</v>
      </c>
      <c r="AG70" s="15">
        <f ca="1">(AF70/YEARFRAC(A70,TODAY())/P70)</f>
        <v>2225.8963513460094</v>
      </c>
      <c r="AI70" s="8">
        <f>VALUE(SUBSTITUTE(LEFT(X70, FIND(" ", X70) - 1), ",", ""))</f>
        <v>1202280</v>
      </c>
      <c r="AK70" s="20" t="str">
        <f>IF(AI70&gt;AC70, "YES","")</f>
        <v>YES</v>
      </c>
    </row>
    <row r="71" spans="1:37" hidden="1" x14ac:dyDescent="0.25">
      <c r="A71" s="5">
        <v>45623</v>
      </c>
      <c r="B71" s="1" t="s">
        <v>44</v>
      </c>
      <c r="C71" s="1">
        <v>41</v>
      </c>
      <c r="D71" s="1" t="s">
        <v>43</v>
      </c>
      <c r="E71" s="1" t="s">
        <v>33</v>
      </c>
      <c r="F71" s="1" t="s">
        <v>34</v>
      </c>
      <c r="G71" s="1" t="s">
        <v>31</v>
      </c>
      <c r="H71" s="1">
        <v>41</v>
      </c>
      <c r="I71" s="1" t="s">
        <v>252</v>
      </c>
      <c r="J71" s="1" t="s">
        <v>33</v>
      </c>
      <c r="K71" s="1" t="s">
        <v>37</v>
      </c>
      <c r="L71" s="1" t="s">
        <v>38</v>
      </c>
      <c r="M71" s="1">
        <v>0.34</v>
      </c>
      <c r="N71" s="1">
        <v>13.9</v>
      </c>
      <c r="O71" s="1">
        <v>13</v>
      </c>
      <c r="P71" s="1">
        <v>38.6</v>
      </c>
      <c r="Q71" s="20">
        <v>40223984</v>
      </c>
      <c r="R71" s="20">
        <v>120000000</v>
      </c>
      <c r="S71" s="8">
        <v>-2549113</v>
      </c>
      <c r="T71" s="1">
        <v>51</v>
      </c>
      <c r="U71" s="1">
        <v>12</v>
      </c>
      <c r="V71" s="1"/>
      <c r="W71" s="8">
        <v>-2466990</v>
      </c>
      <c r="X71" s="1" t="s">
        <v>914</v>
      </c>
      <c r="Y71" s="1" t="s">
        <v>915</v>
      </c>
      <c r="Z71" s="1" t="s">
        <v>916</v>
      </c>
      <c r="AA71" s="1" t="s">
        <v>917</v>
      </c>
      <c r="AB71" s="1"/>
      <c r="AC71" s="8">
        <v>52291.179199999999</v>
      </c>
      <c r="AD71" s="8">
        <v>350639.5686636552</v>
      </c>
      <c r="AE71" s="8">
        <v>-206427.37133606311</v>
      </c>
      <c r="AF71" s="8">
        <f>VALUE(SUBSTITUTE(LEFT(Z71, FIND(" ", Z71) - 1), ",", ""))</f>
        <v>108407</v>
      </c>
      <c r="AG71" s="15">
        <f ca="1">(AF71/YEARFRAC(A71,TODAY())/P71)</f>
        <v>2717.8756476683934</v>
      </c>
      <c r="AI71" s="8">
        <f>VALUE(SUBSTITUTE(LEFT(X71, FIND(" ", X71) - 1), ",", ""))</f>
        <v>245578</v>
      </c>
      <c r="AK71" s="20" t="str">
        <f>IF(AI71&gt;AC71, "YES","")</f>
        <v>YES</v>
      </c>
    </row>
    <row r="72" spans="1:37" hidden="1" x14ac:dyDescent="0.25">
      <c r="A72" s="5">
        <v>45562</v>
      </c>
      <c r="B72" s="20" t="s">
        <v>57</v>
      </c>
      <c r="C72" s="20">
        <v>41</v>
      </c>
      <c r="D72" s="20" t="s">
        <v>43</v>
      </c>
      <c r="E72" s="20" t="s">
        <v>33</v>
      </c>
      <c r="F72" s="20" t="s">
        <v>34</v>
      </c>
      <c r="G72" s="20" t="s">
        <v>35</v>
      </c>
      <c r="H72" s="20">
        <v>40</v>
      </c>
      <c r="I72" s="20" t="s">
        <v>43</v>
      </c>
      <c r="J72" s="20" t="s">
        <v>33</v>
      </c>
      <c r="K72" s="20" t="s">
        <v>37</v>
      </c>
      <c r="L72" s="20" t="s">
        <v>118</v>
      </c>
      <c r="M72" s="20">
        <v>2.5499999999999998</v>
      </c>
      <c r="N72" s="20">
        <v>-6</v>
      </c>
      <c r="O72" s="20">
        <v>14.5</v>
      </c>
      <c r="P72" s="20">
        <v>1413.5</v>
      </c>
      <c r="Q72" s="20">
        <v>40000000</v>
      </c>
      <c r="R72" s="20">
        <v>15707984</v>
      </c>
      <c r="S72" s="8">
        <v>-1484239</v>
      </c>
      <c r="T72" s="20">
        <v>106</v>
      </c>
      <c r="U72" s="20">
        <v>285</v>
      </c>
      <c r="V72" s="20"/>
      <c r="W72" s="8">
        <v>-1383651</v>
      </c>
      <c r="X72" s="20" t="s">
        <v>508</v>
      </c>
      <c r="Y72" s="20" t="s">
        <v>509</v>
      </c>
      <c r="Z72" s="20" t="s">
        <v>510</v>
      </c>
      <c r="AA72" s="20" t="s">
        <v>42</v>
      </c>
      <c r="AB72" s="1"/>
      <c r="AC72" s="8">
        <v>57999.999999999993</v>
      </c>
      <c r="AD72" s="8">
        <v>111118.9446132786</v>
      </c>
      <c r="AE72" s="25">
        <v>-203836.77605458981</v>
      </c>
      <c r="AF72" s="8">
        <f>VALUE(SUBSTITUTE(LEFT(Z72, FIND(" ", Z72) - 1), ",", ""))</f>
        <v>126438</v>
      </c>
      <c r="AG72" s="15">
        <f ca="1">(AF72/YEARFRAC(A72,TODAY())/P72)</f>
        <v>74.541917226742129</v>
      </c>
      <c r="AI72" s="8">
        <f>VALUE(SUBSTITUTE(LEFT(X72, FIND(" ", X72) - 1), ",", ""))</f>
        <v>313019</v>
      </c>
      <c r="AK72" s="20" t="str">
        <f>IF(AI72&gt;AC72, "YES","")</f>
        <v>YES</v>
      </c>
    </row>
    <row r="73" spans="1:37" hidden="1" x14ac:dyDescent="0.25">
      <c r="A73" s="5">
        <v>45324</v>
      </c>
      <c r="B73" s="20" t="s">
        <v>35</v>
      </c>
      <c r="C73" s="20">
        <v>40</v>
      </c>
      <c r="D73" s="20" t="s">
        <v>43</v>
      </c>
      <c r="E73" s="20" t="s">
        <v>33</v>
      </c>
      <c r="F73" s="20" t="s">
        <v>34</v>
      </c>
      <c r="G73" s="20" t="s">
        <v>58</v>
      </c>
      <c r="H73" s="20">
        <v>41</v>
      </c>
      <c r="I73" s="20" t="s">
        <v>284</v>
      </c>
      <c r="J73" s="20" t="s">
        <v>33</v>
      </c>
      <c r="K73" s="20" t="s">
        <v>37</v>
      </c>
      <c r="L73" s="20" t="s">
        <v>38</v>
      </c>
      <c r="M73" s="20">
        <v>0.94</v>
      </c>
      <c r="N73" s="20">
        <v>86.8</v>
      </c>
      <c r="O73" s="20">
        <v>133.19999999999999</v>
      </c>
      <c r="P73" s="20">
        <v>47.4</v>
      </c>
      <c r="Q73" s="20">
        <v>4703294</v>
      </c>
      <c r="R73" s="20">
        <v>5000000</v>
      </c>
      <c r="S73" s="8">
        <v>-151995</v>
      </c>
      <c r="T73" s="20">
        <v>321</v>
      </c>
      <c r="U73" s="20">
        <v>221</v>
      </c>
      <c r="V73" s="20"/>
      <c r="W73" s="8">
        <v>124588</v>
      </c>
      <c r="X73" s="20" t="s">
        <v>628</v>
      </c>
      <c r="Y73" s="20" t="s">
        <v>629</v>
      </c>
      <c r="Z73" s="20" t="s">
        <v>630</v>
      </c>
      <c r="AA73" s="20"/>
      <c r="AB73" s="1"/>
      <c r="AC73" s="8">
        <v>62647.876079999987</v>
      </c>
      <c r="AD73" s="8">
        <v>197585.87209911001</v>
      </c>
      <c r="AE73" s="25">
        <v>-199731.5325153356</v>
      </c>
      <c r="AF73" s="8">
        <f>VALUE(SUBSTITUTE(LEFT(Z73, FIND(" ", Z73) - 1), ",", ""))</f>
        <v>-1767</v>
      </c>
      <c r="AG73" s="15">
        <f ca="1">(AF73/YEARFRAC(A73,TODAY())/P73)</f>
        <v>-20.120319587041923</v>
      </c>
      <c r="AI73" s="8">
        <f>VALUE(SUBSTITUTE(LEFT(X73, FIND(" ", X73) - 1), ",", ""))</f>
        <v>38462</v>
      </c>
      <c r="AK73" s="20" t="str">
        <f>IF(AI73&gt;AC73, "YES","")</f>
        <v/>
      </c>
    </row>
    <row r="74" spans="1:37" hidden="1" x14ac:dyDescent="0.25">
      <c r="A74" s="5">
        <v>45496</v>
      </c>
      <c r="B74" s="1" t="s">
        <v>35</v>
      </c>
      <c r="C74" s="1">
        <v>41</v>
      </c>
      <c r="D74" s="1" t="s">
        <v>43</v>
      </c>
      <c r="E74" s="1" t="s">
        <v>33</v>
      </c>
      <c r="F74" s="1" t="s">
        <v>37</v>
      </c>
      <c r="G74" s="1" t="s">
        <v>35</v>
      </c>
      <c r="H74" s="1">
        <v>40</v>
      </c>
      <c r="I74" s="1" t="s">
        <v>43</v>
      </c>
      <c r="J74" s="1" t="s">
        <v>33</v>
      </c>
      <c r="K74" s="1" t="s">
        <v>34</v>
      </c>
      <c r="L74" s="1" t="s">
        <v>38</v>
      </c>
      <c r="M74" s="1">
        <v>1</v>
      </c>
      <c r="N74" s="1">
        <v>17.100000000000001</v>
      </c>
      <c r="O74" s="1">
        <v>18.8</v>
      </c>
      <c r="P74" s="1">
        <v>241.2</v>
      </c>
      <c r="Q74" s="20">
        <v>39801167</v>
      </c>
      <c r="R74" s="20">
        <v>40000000</v>
      </c>
      <c r="S74" s="8">
        <v>-592209</v>
      </c>
      <c r="T74" s="1">
        <v>293</v>
      </c>
      <c r="U74" s="1">
        <v>307</v>
      </c>
      <c r="V74" s="1"/>
      <c r="W74" s="8">
        <v>-592209</v>
      </c>
      <c r="X74" s="1" t="s">
        <v>774</v>
      </c>
      <c r="Y74" s="1" t="s">
        <v>775</v>
      </c>
      <c r="Z74" s="1" t="s">
        <v>776</v>
      </c>
      <c r="AA74" s="1" t="s">
        <v>42</v>
      </c>
      <c r="AB74" s="1"/>
      <c r="AC74" s="8">
        <v>74826.193960000004</v>
      </c>
      <c r="AD74" s="8">
        <v>-308397.88700424321</v>
      </c>
      <c r="AE74" s="8">
        <v>-173757.37639379589</v>
      </c>
      <c r="AF74" s="8">
        <f>VALUE(SUBSTITUTE(LEFT(Z74, FIND(" ", Z74) - 1), ",", ""))</f>
        <v>593150</v>
      </c>
      <c r="AG74" s="15">
        <f ca="1">(AF74/YEARFRAC(A74,TODAY())/P74)</f>
        <v>1784.8760231102553</v>
      </c>
      <c r="AI74" s="8">
        <f>VALUE(SUBSTITUTE(LEFT(X74, FIND(" ", X74) - 1), ",", ""))</f>
        <v>1109081</v>
      </c>
      <c r="AK74" s="20" t="str">
        <f>IF(AI74&gt;AC74, "YES","")</f>
        <v>YES</v>
      </c>
    </row>
    <row r="75" spans="1:37" hidden="1" x14ac:dyDescent="0.25">
      <c r="A75" s="5">
        <v>45744</v>
      </c>
      <c r="B75" s="20" t="s">
        <v>35</v>
      </c>
      <c r="C75" s="20">
        <v>42</v>
      </c>
      <c r="D75" s="20" t="s">
        <v>43</v>
      </c>
      <c r="E75" s="20" t="s">
        <v>33</v>
      </c>
      <c r="F75" s="20" t="s">
        <v>37</v>
      </c>
      <c r="G75" s="20" t="s">
        <v>58</v>
      </c>
      <c r="H75" s="20">
        <v>41</v>
      </c>
      <c r="I75" s="20" t="s">
        <v>43</v>
      </c>
      <c r="J75" s="20" t="s">
        <v>33</v>
      </c>
      <c r="K75" s="20" t="s">
        <v>34</v>
      </c>
      <c r="L75" s="20" t="s">
        <v>118</v>
      </c>
      <c r="M75" s="20">
        <v>1.01</v>
      </c>
      <c r="N75" s="20">
        <v>-21.6</v>
      </c>
      <c r="O75" s="20">
        <v>40.4</v>
      </c>
      <c r="P75" s="20">
        <v>221</v>
      </c>
      <c r="Q75" s="20">
        <v>15220190</v>
      </c>
      <c r="R75" s="20">
        <v>15000000</v>
      </c>
      <c r="S75" s="8">
        <v>-364818</v>
      </c>
      <c r="T75" s="20">
        <v>313</v>
      </c>
      <c r="U75" s="20">
        <v>296</v>
      </c>
      <c r="V75" s="20"/>
      <c r="W75" s="8">
        <v>10597</v>
      </c>
      <c r="X75" s="20" t="s">
        <v>1002</v>
      </c>
      <c r="Y75" s="20" t="s">
        <v>1003</v>
      </c>
      <c r="Z75" s="20" t="s">
        <v>1004</v>
      </c>
      <c r="AA75" s="20"/>
      <c r="AB75" s="1"/>
      <c r="AC75" s="8">
        <v>61489.567600000002</v>
      </c>
      <c r="AD75" s="8">
        <v>-596942.59935934306</v>
      </c>
      <c r="AE75" s="25">
        <v>-173440.04944207569</v>
      </c>
      <c r="AF75" s="8">
        <f>VALUE(SUBSTITUTE(LEFT(Z75, FIND(" ", Z75) - 1), ",", ""))</f>
        <v>-197417</v>
      </c>
      <c r="AG75" s="15">
        <f ca="1">(AF75/YEARFRAC(A75,TODAY())/P75)</f>
        <v>-1281.2121649150006</v>
      </c>
      <c r="AI75" s="8">
        <f>VALUE(SUBSTITUTE(LEFT(X75, FIND(" ", X75) - 1), ",", ""))</f>
        <v>726897</v>
      </c>
      <c r="AK75" s="20" t="str">
        <f>IF(AI75&gt;AC75, "YES","")</f>
        <v>YES</v>
      </c>
    </row>
    <row r="76" spans="1:37" hidden="1" x14ac:dyDescent="0.25">
      <c r="A76" s="5">
        <v>45496</v>
      </c>
      <c r="B76" s="1" t="s">
        <v>58</v>
      </c>
      <c r="C76" s="1">
        <v>40</v>
      </c>
      <c r="D76" s="1" t="s">
        <v>43</v>
      </c>
      <c r="E76" s="1" t="s">
        <v>33</v>
      </c>
      <c r="F76" s="1" t="s">
        <v>34</v>
      </c>
      <c r="G76" s="1" t="s">
        <v>58</v>
      </c>
      <c r="H76" s="1">
        <v>41</v>
      </c>
      <c r="I76" s="1" t="s">
        <v>36</v>
      </c>
      <c r="J76" s="1" t="s">
        <v>33</v>
      </c>
      <c r="K76" s="1" t="s">
        <v>37</v>
      </c>
      <c r="L76" s="1" t="s">
        <v>38</v>
      </c>
      <c r="M76" s="1">
        <v>0.33</v>
      </c>
      <c r="N76" s="1">
        <v>127.9</v>
      </c>
      <c r="O76" s="1">
        <v>82.3</v>
      </c>
      <c r="P76" s="1">
        <v>26.9</v>
      </c>
      <c r="Q76" s="20">
        <v>11673245</v>
      </c>
      <c r="R76" s="20">
        <v>35000000</v>
      </c>
      <c r="S76" s="8">
        <v>-4554561</v>
      </c>
      <c r="T76" s="1">
        <v>292</v>
      </c>
      <c r="U76" s="1">
        <v>54</v>
      </c>
      <c r="V76" s="1"/>
      <c r="W76" s="8">
        <v>-4420450</v>
      </c>
      <c r="X76" s="1" t="s">
        <v>794</v>
      </c>
      <c r="Y76" s="1" t="s">
        <v>795</v>
      </c>
      <c r="Z76" s="1" t="s">
        <v>796</v>
      </c>
      <c r="AA76" s="1" t="s">
        <v>797</v>
      </c>
      <c r="AB76" s="1"/>
      <c r="AC76" s="8">
        <v>96070.806349999999</v>
      </c>
      <c r="AD76" s="8">
        <v>499020.67272279272</v>
      </c>
      <c r="AE76" s="8">
        <v>-172636.9958688911</v>
      </c>
      <c r="AF76" s="8">
        <f>VALUE(SUBSTITUTE(LEFT(Z76, FIND(" ", Z76) - 1), ",", ""))</f>
        <v>119431</v>
      </c>
      <c r="AG76" s="15">
        <f ca="1">(AF76/YEARFRAC(A76,TODAY())/P76)</f>
        <v>3222.4457368989092</v>
      </c>
      <c r="AI76" s="8">
        <f>VALUE(SUBSTITUTE(LEFT(X76, FIND(" ", X76) - 1), ",", ""))</f>
        <v>226452</v>
      </c>
      <c r="AK76" s="20" t="str">
        <f>IF(AI76&gt;AC76, "YES","")</f>
        <v>YES</v>
      </c>
    </row>
    <row r="77" spans="1:37" hidden="1" x14ac:dyDescent="0.25">
      <c r="A77" s="5">
        <v>45306</v>
      </c>
      <c r="B77" s="1" t="s">
        <v>57</v>
      </c>
      <c r="C77" s="1">
        <v>38</v>
      </c>
      <c r="D77" s="1" t="s">
        <v>43</v>
      </c>
      <c r="E77" s="1" t="s">
        <v>33</v>
      </c>
      <c r="F77" s="1" t="s">
        <v>34</v>
      </c>
      <c r="G77" s="1" t="s">
        <v>31</v>
      </c>
      <c r="H77" s="1">
        <v>39</v>
      </c>
      <c r="I77" s="1" t="s">
        <v>43</v>
      </c>
      <c r="J77" s="1" t="s">
        <v>33</v>
      </c>
      <c r="K77" s="1" t="s">
        <v>37</v>
      </c>
      <c r="L77" s="1" t="s">
        <v>118</v>
      </c>
      <c r="M77" s="1">
        <v>0.39</v>
      </c>
      <c r="N77" s="1">
        <v>-10.3</v>
      </c>
      <c r="O77" s="1">
        <v>46.5</v>
      </c>
      <c r="P77" s="1">
        <v>150.1</v>
      </c>
      <c r="Q77" s="20">
        <v>25000000</v>
      </c>
      <c r="R77" s="20">
        <v>63731397</v>
      </c>
      <c r="S77" s="8">
        <v>-1105301</v>
      </c>
      <c r="T77" s="1">
        <v>106</v>
      </c>
      <c r="U77" s="1">
        <v>45</v>
      </c>
      <c r="V77" s="1"/>
      <c r="W77" s="8">
        <v>-698612</v>
      </c>
      <c r="X77" s="1" t="s">
        <v>389</v>
      </c>
      <c r="Y77" s="1" t="s">
        <v>390</v>
      </c>
      <c r="Z77" s="1" t="s">
        <v>391</v>
      </c>
      <c r="AA77" s="1" t="s">
        <v>42</v>
      </c>
      <c r="AB77" s="1"/>
      <c r="AC77" s="8">
        <v>116250</v>
      </c>
      <c r="AD77" s="8">
        <v>-85613.952436687192</v>
      </c>
      <c r="AE77" s="8">
        <v>-159736.68602723061</v>
      </c>
      <c r="AF77" s="8">
        <f>VALUE(SUBSTITUTE(LEFT(Z77, FIND(" ", Z77) - 1), ",", ""))</f>
        <v>120263</v>
      </c>
      <c r="AG77" s="15">
        <f ca="1">(AF77/YEARFRAC(A77,TODAY())/P77)</f>
        <v>421.69430905711982</v>
      </c>
      <c r="AI77" s="8">
        <f>VALUE(SUBSTITUTE(LEFT(X77, FIND(" ", X77) - 1), ",", ""))</f>
        <v>504825</v>
      </c>
      <c r="AK77" s="20" t="str">
        <f>IF(AI77&gt;AC77, "YES","")</f>
        <v>YES</v>
      </c>
    </row>
    <row r="78" spans="1:37" hidden="1" x14ac:dyDescent="0.25">
      <c r="A78" s="5">
        <v>45447</v>
      </c>
      <c r="B78" s="1" t="s">
        <v>58</v>
      </c>
      <c r="C78" s="1">
        <v>41</v>
      </c>
      <c r="D78" s="1" t="s">
        <v>36</v>
      </c>
      <c r="E78" s="1" t="s">
        <v>33</v>
      </c>
      <c r="F78" s="1" t="s">
        <v>37</v>
      </c>
      <c r="G78" s="1" t="s">
        <v>58</v>
      </c>
      <c r="H78" s="1">
        <v>40</v>
      </c>
      <c r="I78" s="1" t="s">
        <v>43</v>
      </c>
      <c r="J78" s="1" t="s">
        <v>33</v>
      </c>
      <c r="K78" s="1" t="s">
        <v>34</v>
      </c>
      <c r="L78" s="1" t="s">
        <v>38</v>
      </c>
      <c r="M78" s="1">
        <v>2.87</v>
      </c>
      <c r="N78" s="1">
        <v>51.6</v>
      </c>
      <c r="O78" s="1">
        <v>28.6</v>
      </c>
      <c r="P78" s="1">
        <v>24</v>
      </c>
      <c r="Q78" s="20">
        <v>35000000</v>
      </c>
      <c r="R78" s="20">
        <v>12200891</v>
      </c>
      <c r="S78" s="8">
        <v>-4747783</v>
      </c>
      <c r="T78" s="1">
        <v>58</v>
      </c>
      <c r="U78" s="1">
        <v>301</v>
      </c>
      <c r="V78" s="1"/>
      <c r="W78" s="8">
        <v>-4577542</v>
      </c>
      <c r="X78" s="1" t="s">
        <v>734</v>
      </c>
      <c r="Y78" s="1" t="s">
        <v>735</v>
      </c>
      <c r="Z78" s="1" t="s">
        <v>736</v>
      </c>
      <c r="AA78" s="1" t="s">
        <v>42</v>
      </c>
      <c r="AB78" s="1"/>
      <c r="AC78" s="8">
        <v>100100</v>
      </c>
      <c r="AD78" s="8">
        <v>562473.79003613978</v>
      </c>
      <c r="AE78" s="8">
        <v>-150125.17522858459</v>
      </c>
      <c r="AF78" s="8">
        <f>VALUE(SUBSTITUTE(LEFT(Z78, FIND(" ", Z78) - 1), ",", ""))</f>
        <v>789458</v>
      </c>
      <c r="AG78" s="15">
        <f ca="1">(AF78/YEARFRAC(A78,TODAY())/P78)</f>
        <v>21728.201834862386</v>
      </c>
      <c r="AI78" s="8">
        <f>VALUE(SUBSTITUTE(LEFT(X78, FIND(" ", X78) - 1), ",", ""))</f>
        <v>789458</v>
      </c>
      <c r="AK78" s="20" t="str">
        <f>IF(AI78&gt;AC78, "YES","")</f>
        <v>YES</v>
      </c>
    </row>
    <row r="79" spans="1:37" hidden="1" x14ac:dyDescent="0.25">
      <c r="A79" s="5">
        <v>45153</v>
      </c>
      <c r="B79" s="1" t="s">
        <v>44</v>
      </c>
      <c r="C79" s="1">
        <v>39</v>
      </c>
      <c r="D79" s="1" t="s">
        <v>43</v>
      </c>
      <c r="E79" s="1" t="s">
        <v>33</v>
      </c>
      <c r="F79" s="1" t="s">
        <v>37</v>
      </c>
      <c r="G79" s="1" t="s">
        <v>35</v>
      </c>
      <c r="H79" s="1">
        <v>39</v>
      </c>
      <c r="I79" s="1" t="s">
        <v>43</v>
      </c>
      <c r="J79" s="1" t="s">
        <v>33</v>
      </c>
      <c r="K79" s="1" t="s">
        <v>34</v>
      </c>
      <c r="L79" s="1" t="s">
        <v>38</v>
      </c>
      <c r="M79" s="1">
        <v>5.54</v>
      </c>
      <c r="N79" s="1">
        <v>1.3</v>
      </c>
      <c r="O79" s="1">
        <v>19.2</v>
      </c>
      <c r="P79" s="1">
        <v>276.7</v>
      </c>
      <c r="Q79" s="20">
        <v>276804557</v>
      </c>
      <c r="R79" s="20">
        <v>50000000</v>
      </c>
      <c r="S79" s="8">
        <v>-1336573</v>
      </c>
      <c r="T79" s="1">
        <v>73</v>
      </c>
      <c r="U79" s="1">
        <v>410</v>
      </c>
      <c r="V79" s="1"/>
      <c r="W79" s="8">
        <v>3444360</v>
      </c>
      <c r="X79" s="1" t="s">
        <v>331</v>
      </c>
      <c r="Y79" s="1" t="s">
        <v>332</v>
      </c>
      <c r="Z79" s="1" t="s">
        <v>333</v>
      </c>
      <c r="AA79" s="1" t="s">
        <v>42</v>
      </c>
      <c r="AB79" s="1"/>
      <c r="AC79" s="8">
        <v>531464.74943999993</v>
      </c>
      <c r="AD79" s="8">
        <v>142197.5242625587</v>
      </c>
      <c r="AE79" s="8">
        <v>-134872.7797488556</v>
      </c>
      <c r="AF79" s="8">
        <f>VALUE(SUBSTITUTE(LEFT(Z79, FIND(" ", Z79) - 1), ",", ""))</f>
        <v>720398</v>
      </c>
      <c r="AG79" s="15">
        <f ca="1">(AF79/YEARFRAC(A79,TODAY())/P79)</f>
        <v>1123.827847732656</v>
      </c>
      <c r="AI79" s="8">
        <f>VALUE(SUBSTITUTE(LEFT(X79, FIND(" ", X79) - 1), ",", ""))</f>
        <v>1902108</v>
      </c>
      <c r="AK79" s="20" t="str">
        <f>IF(AI79&gt;AC79, "YES","")</f>
        <v>YES</v>
      </c>
    </row>
    <row r="80" spans="1:37" hidden="1" x14ac:dyDescent="0.25">
      <c r="A80" s="5">
        <v>45637</v>
      </c>
      <c r="B80" s="1" t="s">
        <v>58</v>
      </c>
      <c r="C80" s="1">
        <v>41</v>
      </c>
      <c r="D80" s="1" t="s">
        <v>36</v>
      </c>
      <c r="E80" s="1" t="s">
        <v>33</v>
      </c>
      <c r="F80" s="1" t="s">
        <v>37</v>
      </c>
      <c r="G80" s="1" t="s">
        <v>44</v>
      </c>
      <c r="H80" s="1">
        <v>40</v>
      </c>
      <c r="I80" s="1" t="s">
        <v>122</v>
      </c>
      <c r="J80" s="1" t="s">
        <v>33</v>
      </c>
      <c r="K80" s="1" t="s">
        <v>34</v>
      </c>
      <c r="L80" s="1" t="s">
        <v>118</v>
      </c>
      <c r="M80" s="1">
        <v>0.78</v>
      </c>
      <c r="N80" s="1">
        <v>-22.4</v>
      </c>
      <c r="O80" s="1">
        <v>60.2</v>
      </c>
      <c r="P80" s="1">
        <v>22.2</v>
      </c>
      <c r="Q80" s="20">
        <v>15000000</v>
      </c>
      <c r="R80" s="20">
        <v>19208567</v>
      </c>
      <c r="S80" s="8">
        <v>-1605590</v>
      </c>
      <c r="T80" s="1">
        <v>40</v>
      </c>
      <c r="U80" s="1">
        <v>14</v>
      </c>
      <c r="V80" s="1"/>
      <c r="W80" s="8">
        <v>-1585136</v>
      </c>
      <c r="X80" s="1" t="s">
        <v>934</v>
      </c>
      <c r="Y80" s="1" t="s">
        <v>935</v>
      </c>
      <c r="Z80" s="1" t="s">
        <v>936</v>
      </c>
      <c r="AA80" s="1"/>
      <c r="AB80" s="1"/>
      <c r="AC80" s="8">
        <v>90300</v>
      </c>
      <c r="AD80" s="8">
        <v>-133247.8278275154</v>
      </c>
      <c r="AE80" s="8">
        <v>-133247.8278275154</v>
      </c>
      <c r="AF80" s="8">
        <f>VALUE(SUBSTITUTE(LEFT(Z80, FIND(" ", Z80) - 1), ",", ""))</f>
        <v>75566</v>
      </c>
      <c r="AG80" s="15">
        <f ca="1">(AF80/YEARFRAC(A80,TODAY())/P80)</f>
        <v>3422.8899290351801</v>
      </c>
      <c r="AI80" s="8">
        <f>VALUE(SUBSTITUTE(LEFT(X80, FIND(" ", X80) - 1), ",", ""))</f>
        <v>145968</v>
      </c>
      <c r="AK80" s="20" t="str">
        <f>IF(AI80&gt;AC80, "YES","")</f>
        <v>YES</v>
      </c>
    </row>
    <row r="81" spans="1:37" hidden="1" x14ac:dyDescent="0.25">
      <c r="A81" s="5">
        <v>45707</v>
      </c>
      <c r="B81" s="20" t="s">
        <v>44</v>
      </c>
      <c r="C81" s="20">
        <v>40</v>
      </c>
      <c r="D81" s="20" t="s">
        <v>43</v>
      </c>
      <c r="E81" s="20" t="s">
        <v>33</v>
      </c>
      <c r="F81" s="20" t="s">
        <v>34</v>
      </c>
      <c r="G81" s="20" t="s">
        <v>35</v>
      </c>
      <c r="H81" s="20">
        <v>41</v>
      </c>
      <c r="I81" s="20" t="s">
        <v>43</v>
      </c>
      <c r="J81" s="20" t="s">
        <v>33</v>
      </c>
      <c r="K81" s="20" t="s">
        <v>37</v>
      </c>
      <c r="L81" s="20" t="s">
        <v>118</v>
      </c>
      <c r="M81" s="20">
        <v>5.17</v>
      </c>
      <c r="N81" s="20">
        <v>-2.9</v>
      </c>
      <c r="O81" s="20">
        <v>13.7</v>
      </c>
      <c r="P81" s="20">
        <v>194</v>
      </c>
      <c r="Q81" s="20">
        <v>140000000</v>
      </c>
      <c r="R81" s="20">
        <v>27077518</v>
      </c>
      <c r="S81" s="8">
        <v>-24836</v>
      </c>
      <c r="T81" s="20">
        <v>43</v>
      </c>
      <c r="U81" s="20">
        <v>239</v>
      </c>
      <c r="V81" s="20"/>
      <c r="W81" s="8">
        <v>199323</v>
      </c>
      <c r="X81" s="20" t="s">
        <v>555</v>
      </c>
      <c r="Y81" s="20" t="s">
        <v>556</v>
      </c>
      <c r="Z81" s="20" t="s">
        <v>557</v>
      </c>
      <c r="AA81" s="20"/>
      <c r="AB81" s="1"/>
      <c r="AC81" s="8">
        <v>191800</v>
      </c>
      <c r="AD81" s="8">
        <v>-495538.78186557209</v>
      </c>
      <c r="AE81" s="25">
        <v>-118975.14777850171</v>
      </c>
      <c r="AF81" s="8">
        <f>VALUE(SUBSTITUTE(LEFT(Z81, FIND(" ", Z81) - 1), ",", ""))</f>
        <v>-45204</v>
      </c>
      <c r="AG81" s="15">
        <f ca="1">(AF81/YEARFRAC(A81,TODAY())/P81)</f>
        <v>-289.25417703519372</v>
      </c>
      <c r="AI81" s="8">
        <f>VALUE(SUBSTITUTE(LEFT(X81, FIND(" ", X81) - 1), ",", ""))</f>
        <v>168542</v>
      </c>
      <c r="AK81" s="20" t="str">
        <f>IF(AI81&gt;AC81, "YES","")</f>
        <v/>
      </c>
    </row>
    <row r="82" spans="1:37" hidden="1" x14ac:dyDescent="0.25">
      <c r="A82" s="5">
        <v>45468</v>
      </c>
      <c r="B82" s="1" t="s">
        <v>57</v>
      </c>
      <c r="C82" s="1">
        <v>39</v>
      </c>
      <c r="D82" s="1" t="s">
        <v>43</v>
      </c>
      <c r="E82" s="1" t="s">
        <v>33</v>
      </c>
      <c r="F82" s="1" t="s">
        <v>34</v>
      </c>
      <c r="G82" s="1" t="s">
        <v>31</v>
      </c>
      <c r="H82" s="1">
        <v>40</v>
      </c>
      <c r="I82" s="1" t="s">
        <v>43</v>
      </c>
      <c r="J82" s="1" t="s">
        <v>33</v>
      </c>
      <c r="K82" s="1" t="s">
        <v>37</v>
      </c>
      <c r="L82" s="1" t="s">
        <v>118</v>
      </c>
      <c r="M82" s="1">
        <v>0.39</v>
      </c>
      <c r="N82" s="1">
        <v>-5.6</v>
      </c>
      <c r="O82" s="1">
        <v>37.6</v>
      </c>
      <c r="P82" s="1">
        <v>45.4</v>
      </c>
      <c r="Q82" s="20">
        <v>25000000</v>
      </c>
      <c r="R82" s="20">
        <v>64395085</v>
      </c>
      <c r="S82" s="8">
        <v>-1229244</v>
      </c>
      <c r="T82" s="1">
        <v>103</v>
      </c>
      <c r="U82" s="1">
        <v>42</v>
      </c>
      <c r="V82" s="1"/>
      <c r="W82" s="8">
        <v>-1012654</v>
      </c>
      <c r="X82" s="1" t="s">
        <v>454</v>
      </c>
      <c r="Y82" s="1" t="s">
        <v>455</v>
      </c>
      <c r="Z82" s="1" t="s">
        <v>456</v>
      </c>
      <c r="AA82" s="1" t="s">
        <v>42</v>
      </c>
      <c r="AB82" s="1"/>
      <c r="AC82" s="8">
        <v>94000.000000000015</v>
      </c>
      <c r="AD82" s="8">
        <v>-51660.024071184103</v>
      </c>
      <c r="AE82" s="8">
        <v>-117595.7228359383</v>
      </c>
      <c r="AF82" s="8">
        <f>VALUE(SUBSTITUTE(LEFT(Z82, FIND(" ", Z82) - 1), ",", ""))</f>
        <v>140707</v>
      </c>
      <c r="AG82" s="15">
        <f ca="1">(AF82/YEARFRAC(A82,TODAY())/P82)</f>
        <v>2129.2716144870028</v>
      </c>
      <c r="AI82" s="8">
        <f>VALUE(SUBSTITUTE(LEFT(X82, FIND(" ", X82) - 1), ",", ""))</f>
        <v>402384</v>
      </c>
      <c r="AK82" s="20" t="str">
        <f>IF(AI82&gt;AC82, "YES","")</f>
        <v>YES</v>
      </c>
    </row>
    <row r="83" spans="1:37" hidden="1" x14ac:dyDescent="0.25">
      <c r="A83" s="5">
        <v>45637</v>
      </c>
      <c r="B83" s="1" t="s">
        <v>58</v>
      </c>
      <c r="C83" s="1">
        <v>41</v>
      </c>
      <c r="D83" s="1" t="s">
        <v>36</v>
      </c>
      <c r="E83" s="1" t="s">
        <v>33</v>
      </c>
      <c r="F83" s="1" t="s">
        <v>37</v>
      </c>
      <c r="G83" s="1" t="s">
        <v>44</v>
      </c>
      <c r="H83" s="1">
        <v>40</v>
      </c>
      <c r="I83" s="1" t="s">
        <v>43</v>
      </c>
      <c r="J83" s="1" t="s">
        <v>33</v>
      </c>
      <c r="K83" s="1" t="s">
        <v>34</v>
      </c>
      <c r="L83" s="1" t="s">
        <v>38</v>
      </c>
      <c r="M83" s="1">
        <v>0.59</v>
      </c>
      <c r="N83" s="1">
        <v>41.5</v>
      </c>
      <c r="O83" s="1">
        <v>36.9</v>
      </c>
      <c r="P83" s="1">
        <v>30.4</v>
      </c>
      <c r="Q83" s="20">
        <v>15000000</v>
      </c>
      <c r="R83" s="20">
        <v>25362631</v>
      </c>
      <c r="S83" s="8">
        <v>-1682773</v>
      </c>
      <c r="T83" s="1">
        <v>40</v>
      </c>
      <c r="U83" s="1">
        <v>45</v>
      </c>
      <c r="V83" s="1"/>
      <c r="W83" s="8">
        <v>-1670863</v>
      </c>
      <c r="X83" s="1" t="s">
        <v>931</v>
      </c>
      <c r="Y83" s="1" t="s">
        <v>932</v>
      </c>
      <c r="Z83" s="1" t="s">
        <v>933</v>
      </c>
      <c r="AA83" s="1" t="s">
        <v>42</v>
      </c>
      <c r="AB83" s="1"/>
      <c r="AC83" s="8">
        <v>55349.999999999993</v>
      </c>
      <c r="AD83" s="8">
        <v>217861.2020944558</v>
      </c>
      <c r="AE83" s="8">
        <v>-114735.9499434538</v>
      </c>
      <c r="AF83" s="8">
        <f>VALUE(SUBSTITUTE(LEFT(Z83, FIND(" ", Z83) - 1), ",", ""))</f>
        <v>242260</v>
      </c>
      <c r="AG83" s="15">
        <f ca="1">(AF83/YEARFRAC(A83,TODAY())/P83)</f>
        <v>8013.5989414877977</v>
      </c>
      <c r="AI83" s="8">
        <f>VALUE(SUBSTITUTE(LEFT(X83, FIND(" ", X83) - 1), ",", ""))</f>
        <v>253325</v>
      </c>
      <c r="AK83" s="20" t="str">
        <f>IF(AI83&gt;AC83, "YES","")</f>
        <v>YES</v>
      </c>
    </row>
    <row r="84" spans="1:37" x14ac:dyDescent="0.25">
      <c r="A84" s="5">
        <v>45447</v>
      </c>
      <c r="B84" s="1" t="s">
        <v>44</v>
      </c>
      <c r="C84" s="1">
        <v>39</v>
      </c>
      <c r="D84" s="1" t="s">
        <v>43</v>
      </c>
      <c r="E84" s="1" t="s">
        <v>33</v>
      </c>
      <c r="F84" s="1" t="s">
        <v>37</v>
      </c>
      <c r="G84" s="1" t="s">
        <v>35</v>
      </c>
      <c r="H84" s="1">
        <v>39</v>
      </c>
      <c r="I84" s="1" t="s">
        <v>43</v>
      </c>
      <c r="J84" s="1" t="s">
        <v>33</v>
      </c>
      <c r="K84" s="1" t="s">
        <v>34</v>
      </c>
      <c r="L84" s="1" t="s">
        <v>38</v>
      </c>
      <c r="M84" s="1">
        <v>5.44</v>
      </c>
      <c r="N84" s="1">
        <v>1.8</v>
      </c>
      <c r="O84" s="1">
        <v>16</v>
      </c>
      <c r="P84" s="1">
        <v>120.3</v>
      </c>
      <c r="Q84" s="20">
        <v>135917703</v>
      </c>
      <c r="R84" s="20">
        <v>25000000</v>
      </c>
      <c r="S84" s="8">
        <v>-497210</v>
      </c>
      <c r="T84" s="1">
        <v>43</v>
      </c>
      <c r="U84" s="1">
        <v>240</v>
      </c>
      <c r="V84" s="1"/>
      <c r="W84" s="8">
        <v>-65399</v>
      </c>
      <c r="X84" s="1" t="s">
        <v>707</v>
      </c>
      <c r="Y84" s="1" t="s">
        <v>708</v>
      </c>
      <c r="Z84" s="1" t="s">
        <v>709</v>
      </c>
      <c r="AA84" s="1" t="s">
        <v>42</v>
      </c>
      <c r="AB84" s="1"/>
      <c r="AC84" s="8">
        <v>217468.3248</v>
      </c>
      <c r="AD84" s="8">
        <v>62896.855514579453</v>
      </c>
      <c r="AE84" s="8">
        <v>-97826.289655056549</v>
      </c>
      <c r="AF84" s="8">
        <f>VALUE(SUBSTITUTE(LEFT(Z84, FIND(" ", Z84) - 1), ",", ""))</f>
        <v>276432</v>
      </c>
      <c r="AG84" s="15">
        <f ca="1">(AF84/YEARFRAC(A84,TODAY())/P84)</f>
        <v>1517.849413164337</v>
      </c>
      <c r="AI84" s="8">
        <f>VALUE(SUBSTITUTE(LEFT(X84, FIND(" ", X84) - 1), ",", ""))</f>
        <v>830566</v>
      </c>
      <c r="AJ84" s="20"/>
      <c r="AK84" s="20" t="str">
        <f>IF(AI84&gt;AC84, "YES","")</f>
        <v>YES</v>
      </c>
    </row>
    <row r="85" spans="1:37" hidden="1" x14ac:dyDescent="0.25">
      <c r="A85" s="5">
        <v>45562</v>
      </c>
      <c r="B85" s="1" t="s">
        <v>35</v>
      </c>
      <c r="C85" s="1">
        <v>41</v>
      </c>
      <c r="D85" s="1" t="s">
        <v>43</v>
      </c>
      <c r="E85" s="1" t="s">
        <v>33</v>
      </c>
      <c r="F85" s="1" t="s">
        <v>37</v>
      </c>
      <c r="G85" s="1" t="s">
        <v>35</v>
      </c>
      <c r="H85" s="1">
        <v>40</v>
      </c>
      <c r="I85" s="1" t="s">
        <v>43</v>
      </c>
      <c r="J85" s="1" t="s">
        <v>33</v>
      </c>
      <c r="K85" s="1" t="s">
        <v>34</v>
      </c>
      <c r="L85" s="1" t="s">
        <v>38</v>
      </c>
      <c r="M85" s="1">
        <v>0.99</v>
      </c>
      <c r="N85" s="1">
        <v>17.600000000000001</v>
      </c>
      <c r="O85" s="1">
        <v>20.5</v>
      </c>
      <c r="P85" s="1">
        <v>200.5</v>
      </c>
      <c r="Q85" s="20">
        <v>24783817</v>
      </c>
      <c r="R85" s="20">
        <v>25000000</v>
      </c>
      <c r="S85" s="8">
        <v>-379063</v>
      </c>
      <c r="T85" s="1">
        <v>271</v>
      </c>
      <c r="U85" s="1">
        <v>284</v>
      </c>
      <c r="V85" s="1"/>
      <c r="W85" s="8">
        <v>-152635</v>
      </c>
      <c r="X85" s="1" t="s">
        <v>514</v>
      </c>
      <c r="Y85" s="1" t="s">
        <v>515</v>
      </c>
      <c r="Z85" s="1" t="s">
        <v>516</v>
      </c>
      <c r="AA85" s="1" t="s">
        <v>42</v>
      </c>
      <c r="AB85" s="1"/>
      <c r="AC85" s="8">
        <v>50806.824849999997</v>
      </c>
      <c r="AD85" s="8">
        <v>-172415.51838165661</v>
      </c>
      <c r="AE85" s="8">
        <v>-92661.157235284802</v>
      </c>
      <c r="AF85" s="8">
        <f>VALUE(SUBSTITUTE(LEFT(Z85, FIND(" ", Z85) - 1), ",", ""))</f>
        <v>370487</v>
      </c>
      <c r="AG85" s="15">
        <f ca="1">(AF85/YEARFRAC(A85,TODAY())/P85)</f>
        <v>1539.8462177888612</v>
      </c>
      <c r="AI85" s="8">
        <f>VALUE(SUBSTITUTE(LEFT(X85, FIND(" ", X85) - 1), ",", ""))</f>
        <v>678104</v>
      </c>
      <c r="AK85" s="20" t="str">
        <f>IF(AI85&gt;AC85, "YES","")</f>
        <v>YES</v>
      </c>
    </row>
    <row r="86" spans="1:37" hidden="1" x14ac:dyDescent="0.25">
      <c r="A86" s="5">
        <v>44749</v>
      </c>
      <c r="B86" s="1" t="s">
        <v>57</v>
      </c>
      <c r="C86" s="1">
        <v>36</v>
      </c>
      <c r="D86" s="1" t="s">
        <v>43</v>
      </c>
      <c r="E86" s="1" t="s">
        <v>33</v>
      </c>
      <c r="F86" s="1" t="s">
        <v>37</v>
      </c>
      <c r="G86" s="1" t="s">
        <v>35</v>
      </c>
      <c r="H86" s="1">
        <v>35</v>
      </c>
      <c r="I86" s="1" t="s">
        <v>43</v>
      </c>
      <c r="J86" s="1" t="s">
        <v>33</v>
      </c>
      <c r="K86" s="1" t="s">
        <v>34</v>
      </c>
      <c r="L86" s="1" t="s">
        <v>38</v>
      </c>
      <c r="M86" s="1">
        <v>2.0699999999999998</v>
      </c>
      <c r="N86" s="1">
        <v>23.4</v>
      </c>
      <c r="O86" s="1">
        <v>27.6</v>
      </c>
      <c r="P86" s="1">
        <v>148.5</v>
      </c>
      <c r="Q86" s="20">
        <v>50000000</v>
      </c>
      <c r="R86" s="20">
        <v>24107747</v>
      </c>
      <c r="S86" s="8">
        <v>-5988708</v>
      </c>
      <c r="T86" s="1">
        <v>232</v>
      </c>
      <c r="U86" s="1">
        <v>528</v>
      </c>
      <c r="V86" s="1"/>
      <c r="W86" s="8">
        <v>-2629266</v>
      </c>
      <c r="X86" s="1" t="s">
        <v>197</v>
      </c>
      <c r="Y86" s="1" t="s">
        <v>198</v>
      </c>
      <c r="Z86" s="1" t="s">
        <v>199</v>
      </c>
      <c r="AA86" s="1" t="s">
        <v>42</v>
      </c>
      <c r="AB86" s="1"/>
      <c r="AC86" s="8">
        <v>138000</v>
      </c>
      <c r="AD86" s="8">
        <v>-134889.04566625599</v>
      </c>
      <c r="AE86" s="8">
        <v>-89600.633219791576</v>
      </c>
      <c r="AF86" s="8">
        <f>VALUE(SUBSTITUTE(LEFT(Z86, FIND(" ", Z86) - 1), ",", ""))</f>
        <v>1521328</v>
      </c>
      <c r="AG86" s="15">
        <f ca="1">(AF86/YEARFRAC(A86,TODAY())/P86)</f>
        <v>2993.5615899252266</v>
      </c>
      <c r="AI86" s="8">
        <f>VALUE(SUBSTITUTE(LEFT(X86, FIND(" ", X86) - 1), ",", ""))</f>
        <v>1538498</v>
      </c>
      <c r="AK86" s="20" t="str">
        <f>IF(AI86&gt;AC86, "YES","")</f>
        <v>YES</v>
      </c>
    </row>
    <row r="87" spans="1:37" hidden="1" x14ac:dyDescent="0.25">
      <c r="A87" s="5">
        <v>45561</v>
      </c>
      <c r="B87" s="1" t="s">
        <v>35</v>
      </c>
      <c r="C87" s="1">
        <v>40</v>
      </c>
      <c r="D87" s="1" t="s">
        <v>43</v>
      </c>
      <c r="E87" s="1" t="s">
        <v>33</v>
      </c>
      <c r="F87" s="1" t="s">
        <v>34</v>
      </c>
      <c r="G87" s="1" t="s">
        <v>35</v>
      </c>
      <c r="H87" s="1">
        <v>41</v>
      </c>
      <c r="I87" s="1" t="s">
        <v>43</v>
      </c>
      <c r="J87" s="1" t="s">
        <v>33</v>
      </c>
      <c r="K87" s="1" t="s">
        <v>37</v>
      </c>
      <c r="L87" s="1" t="s">
        <v>38</v>
      </c>
      <c r="M87" s="1">
        <v>1</v>
      </c>
      <c r="N87" s="1">
        <v>15.5</v>
      </c>
      <c r="O87" s="1">
        <v>24.8</v>
      </c>
      <c r="P87" s="1">
        <v>179.7</v>
      </c>
      <c r="Q87" s="20">
        <v>25000000</v>
      </c>
      <c r="R87" s="20">
        <v>24882065</v>
      </c>
      <c r="S87" s="8">
        <v>-398119</v>
      </c>
      <c r="T87" s="1">
        <v>285</v>
      </c>
      <c r="U87" s="1">
        <v>271</v>
      </c>
      <c r="V87" s="1"/>
      <c r="W87" s="8">
        <v>-178732</v>
      </c>
      <c r="X87" s="1" t="s">
        <v>853</v>
      </c>
      <c r="Y87" s="1" t="s">
        <v>854</v>
      </c>
      <c r="Z87" s="1" t="s">
        <v>855</v>
      </c>
      <c r="AA87" s="1"/>
      <c r="AB87" s="1"/>
      <c r="AC87" s="8">
        <v>62000</v>
      </c>
      <c r="AD87" s="8">
        <v>-174325.10738398321</v>
      </c>
      <c r="AE87" s="25">
        <v>-86433.41763767763</v>
      </c>
      <c r="AF87" s="8">
        <f>VALUE(SUBSTITUTE(LEFT(Z87, FIND(" ", Z87) - 1), ",", ""))</f>
        <v>51747</v>
      </c>
      <c r="AG87" s="15">
        <f ca="1">(AF87/YEARFRAC(A87,TODAY())/P87)</f>
        <v>239.41519160109036</v>
      </c>
      <c r="AI87" s="8">
        <f>VALUE(SUBSTITUTE(LEFT(X87, FIND(" ", X87) - 1), ",", ""))</f>
        <v>552365</v>
      </c>
      <c r="AK87" s="20" t="str">
        <f>IF(AI87&gt;AC87, "YES","")</f>
        <v>YES</v>
      </c>
    </row>
    <row r="88" spans="1:37" x14ac:dyDescent="0.25">
      <c r="A88" s="5">
        <v>45468</v>
      </c>
      <c r="B88" s="1" t="s">
        <v>58</v>
      </c>
      <c r="C88" s="1">
        <v>41</v>
      </c>
      <c r="D88" s="1" t="s">
        <v>36</v>
      </c>
      <c r="E88" s="1" t="s">
        <v>33</v>
      </c>
      <c r="F88" s="1" t="s">
        <v>37</v>
      </c>
      <c r="G88" s="1" t="s">
        <v>31</v>
      </c>
      <c r="H88" s="1">
        <v>42</v>
      </c>
      <c r="I88" s="1" t="s">
        <v>43</v>
      </c>
      <c r="J88" s="1" t="s">
        <v>33</v>
      </c>
      <c r="K88" s="1" t="s">
        <v>34</v>
      </c>
      <c r="L88" s="1" t="s">
        <v>38</v>
      </c>
      <c r="M88" s="1">
        <v>0.48</v>
      </c>
      <c r="N88" s="1">
        <v>56.5</v>
      </c>
      <c r="O88" s="1">
        <v>16.600000000000001</v>
      </c>
      <c r="P88" s="1">
        <v>49.6</v>
      </c>
      <c r="Q88" s="20">
        <v>35000000</v>
      </c>
      <c r="R88" s="20">
        <v>73450495</v>
      </c>
      <c r="S88" s="8">
        <v>-4171027</v>
      </c>
      <c r="T88" s="1">
        <v>61</v>
      </c>
      <c r="U88" s="1">
        <v>53</v>
      </c>
      <c r="V88" s="1"/>
      <c r="W88" s="8">
        <v>-3960728</v>
      </c>
      <c r="X88" s="1" t="s">
        <v>450</v>
      </c>
      <c r="Y88" s="1" t="s">
        <v>451</v>
      </c>
      <c r="Z88" s="1" t="s">
        <v>452</v>
      </c>
      <c r="AA88" s="1" t="s">
        <v>453</v>
      </c>
      <c r="AB88" s="1"/>
      <c r="AC88" s="8">
        <v>58100.000000000007</v>
      </c>
      <c r="AD88" s="8">
        <v>982796.06404791225</v>
      </c>
      <c r="AE88" s="8">
        <v>-73613.051946140011</v>
      </c>
      <c r="AF88" s="8">
        <f>VALUE(SUBSTITUTE(LEFT(Z88, FIND(" ", Z88) - 1), ",", ""))</f>
        <v>889332</v>
      </c>
      <c r="AG88" s="15">
        <f ca="1">(AF88/YEARFRAC(A88,TODAY())/P88)</f>
        <v>12318.376015759666</v>
      </c>
      <c r="AI88" s="8">
        <f>VALUE(SUBSTITUTE(LEFT(X88, FIND(" ", X88) - 1), ",", ""))</f>
        <v>892067</v>
      </c>
      <c r="AK88" s="20" t="str">
        <f>IF(AI88&gt;AC88, "YES","")</f>
        <v>YES</v>
      </c>
    </row>
    <row r="89" spans="1:37" hidden="1" x14ac:dyDescent="0.25">
      <c r="A89" s="5">
        <v>45707</v>
      </c>
      <c r="B89" s="1" t="s">
        <v>44</v>
      </c>
      <c r="C89" s="1">
        <v>40</v>
      </c>
      <c r="D89" s="1" t="s">
        <v>45</v>
      </c>
      <c r="E89" s="1" t="s">
        <v>33</v>
      </c>
      <c r="F89" s="1" t="s">
        <v>34</v>
      </c>
      <c r="G89" s="1" t="s">
        <v>58</v>
      </c>
      <c r="H89" s="1">
        <v>41</v>
      </c>
      <c r="I89" s="1" t="s">
        <v>68</v>
      </c>
      <c r="J89" s="1" t="s">
        <v>33</v>
      </c>
      <c r="K89" s="1" t="s">
        <v>37</v>
      </c>
      <c r="L89" s="1" t="s">
        <v>118</v>
      </c>
      <c r="M89" s="1">
        <v>2.87</v>
      </c>
      <c r="N89" s="1">
        <v>-17.7</v>
      </c>
      <c r="O89" s="1">
        <v>109.6</v>
      </c>
      <c r="P89" s="1">
        <v>1.1000000000000001</v>
      </c>
      <c r="Q89" s="20">
        <v>10000000</v>
      </c>
      <c r="R89" s="20">
        <v>3485860</v>
      </c>
      <c r="S89" s="8">
        <v>-171120</v>
      </c>
      <c r="T89" s="1">
        <v>62</v>
      </c>
      <c r="U89" s="1">
        <v>230</v>
      </c>
      <c r="V89" s="1"/>
      <c r="W89" s="8">
        <v>-63297</v>
      </c>
      <c r="X89" s="1" t="s">
        <v>561</v>
      </c>
      <c r="Y89" s="1" t="s">
        <v>562</v>
      </c>
      <c r="Z89" s="1" t="s">
        <v>563</v>
      </c>
      <c r="AA89" s="1"/>
      <c r="AB89" s="1"/>
      <c r="AC89" s="8">
        <v>109600</v>
      </c>
      <c r="AD89" s="8">
        <v>-69663.770020533906</v>
      </c>
      <c r="AE89" s="25">
        <v>-69663.770020533906</v>
      </c>
      <c r="AF89" s="8">
        <f>VALUE(SUBSTITUTE(LEFT(Z89, FIND(" ", Z89) - 1), ",", ""))</f>
        <v>-35682</v>
      </c>
      <c r="AG89" s="15">
        <f ca="1">(AF89/YEARFRAC(A89,TODAY())/P89)</f>
        <v>-40268.087774294669</v>
      </c>
      <c r="AI89" s="8">
        <f>VALUE(SUBSTITUTE(LEFT(X89, FIND(" ", X89) - 1), ",", ""))</f>
        <v>347712</v>
      </c>
      <c r="AK89" s="20" t="str">
        <f>IF(AI89&gt;AC89, "YES","")</f>
        <v>YES</v>
      </c>
    </row>
    <row r="90" spans="1:37" x14ac:dyDescent="0.25">
      <c r="A90" s="5">
        <v>45688</v>
      </c>
      <c r="B90" s="1" t="s">
        <v>44</v>
      </c>
      <c r="C90" s="1">
        <v>40</v>
      </c>
      <c r="D90" s="1" t="s">
        <v>43</v>
      </c>
      <c r="E90" s="1" t="s">
        <v>33</v>
      </c>
      <c r="F90" s="1" t="s">
        <v>34</v>
      </c>
      <c r="G90" s="1" t="s">
        <v>58</v>
      </c>
      <c r="H90" s="1">
        <v>41</v>
      </c>
      <c r="I90" s="1" t="s">
        <v>284</v>
      </c>
      <c r="J90" s="1" t="s">
        <v>33</v>
      </c>
      <c r="K90" s="1" t="s">
        <v>37</v>
      </c>
      <c r="L90" s="1" t="s">
        <v>38</v>
      </c>
      <c r="M90" s="1">
        <v>5.8</v>
      </c>
      <c r="N90" s="1">
        <v>28.3</v>
      </c>
      <c r="O90" s="1">
        <v>17.7</v>
      </c>
      <c r="P90" s="1">
        <v>18.2</v>
      </c>
      <c r="Q90" s="20">
        <v>28996580</v>
      </c>
      <c r="R90" s="20">
        <v>5000000</v>
      </c>
      <c r="S90" s="8">
        <v>-38987</v>
      </c>
      <c r="T90" s="1">
        <v>44</v>
      </c>
      <c r="U90" s="1">
        <v>96</v>
      </c>
      <c r="V90" s="1"/>
      <c r="W90" s="8">
        <v>26126</v>
      </c>
      <c r="X90" s="1" t="s">
        <v>963</v>
      </c>
      <c r="Y90" s="1" t="s">
        <v>964</v>
      </c>
      <c r="Z90" s="1" t="s">
        <v>965</v>
      </c>
      <c r="AA90" s="1" t="s">
        <v>966</v>
      </c>
      <c r="AB90" s="1"/>
      <c r="AC90" s="8">
        <v>51323.946600000003</v>
      </c>
      <c r="AD90" s="8">
        <v>309188.3556139631</v>
      </c>
      <c r="AE90" s="8">
        <v>-65148.626378174748</v>
      </c>
      <c r="AF90" s="8">
        <f>VALUE(SUBSTITUTE(LEFT(Z90, FIND(" ", Z90) - 1), ",", ""))</f>
        <v>67876</v>
      </c>
      <c r="AG90" s="15">
        <f ca="1">(AF90/YEARFRAC(A90,TODAY())/P90)</f>
        <v>4344.9909313986991</v>
      </c>
      <c r="AI90" s="8">
        <f>VALUE(SUBSTITUTE(LEFT(X90, FIND(" ", X90) - 1), ",", ""))</f>
        <v>83818</v>
      </c>
      <c r="AJ90" s="20"/>
      <c r="AK90" s="20" t="str">
        <f>IF(AI90&gt;AC90, "YES","")</f>
        <v>YES</v>
      </c>
    </row>
    <row r="91" spans="1:37" x14ac:dyDescent="0.25">
      <c r="A91" s="5">
        <v>45561</v>
      </c>
      <c r="B91" s="1" t="s">
        <v>58</v>
      </c>
      <c r="C91" s="1">
        <v>41</v>
      </c>
      <c r="D91" s="1" t="s">
        <v>36</v>
      </c>
      <c r="E91" s="1" t="s">
        <v>33</v>
      </c>
      <c r="F91" s="1" t="s">
        <v>37</v>
      </c>
      <c r="G91" s="1" t="s">
        <v>58</v>
      </c>
      <c r="H91" s="1">
        <v>40</v>
      </c>
      <c r="I91" s="1" t="s">
        <v>43</v>
      </c>
      <c r="J91" s="1" t="s">
        <v>33</v>
      </c>
      <c r="K91" s="1" t="s">
        <v>34</v>
      </c>
      <c r="L91" s="1" t="s">
        <v>38</v>
      </c>
      <c r="M91" s="1">
        <v>2.77</v>
      </c>
      <c r="N91" s="1">
        <v>62.8</v>
      </c>
      <c r="O91" s="1">
        <v>39.1</v>
      </c>
      <c r="P91" s="1">
        <v>30.7</v>
      </c>
      <c r="Q91" s="20">
        <v>35000000</v>
      </c>
      <c r="R91" s="20">
        <v>12618581</v>
      </c>
      <c r="S91" s="8">
        <v>-4588279</v>
      </c>
      <c r="T91" s="1">
        <v>56</v>
      </c>
      <c r="U91" s="1">
        <v>314</v>
      </c>
      <c r="V91" s="1"/>
      <c r="W91" s="8">
        <v>-4426944</v>
      </c>
      <c r="X91" s="1" t="s">
        <v>868</v>
      </c>
      <c r="Y91" s="1" t="s">
        <v>869</v>
      </c>
      <c r="Z91" s="1" t="s">
        <v>870</v>
      </c>
      <c r="AA91" s="1" t="s">
        <v>42</v>
      </c>
      <c r="AB91" s="1"/>
      <c r="AC91" s="8">
        <v>136850</v>
      </c>
      <c r="AD91" s="8">
        <v>648970.71417987684</v>
      </c>
      <c r="AE91" s="8">
        <v>-62106.096754688188</v>
      </c>
      <c r="AF91" s="8">
        <f>VALUE(SUBSTITUTE(LEFT(Z91, FIND(" ", Z91) - 1), ",", ""))</f>
        <v>683881</v>
      </c>
      <c r="AG91" s="15">
        <f ca="1">(AF91/YEARFRAC(A91,TODAY())/P91)</f>
        <v>18520.673131173317</v>
      </c>
      <c r="AI91" s="8">
        <f>VALUE(SUBSTITUTE(LEFT(X91, FIND(" ", X91) - 1), ",", ""))</f>
        <v>683881</v>
      </c>
      <c r="AK91" s="20" t="str">
        <f>IF(AI91&gt;AC91, "YES","")</f>
        <v>YES</v>
      </c>
    </row>
    <row r="92" spans="1:37" x14ac:dyDescent="0.25">
      <c r="A92" s="5">
        <v>45468</v>
      </c>
      <c r="B92" s="1" t="s">
        <v>35</v>
      </c>
      <c r="C92" s="1">
        <v>40</v>
      </c>
      <c r="D92" s="1" t="s">
        <v>43</v>
      </c>
      <c r="E92" s="1" t="s">
        <v>33</v>
      </c>
      <c r="F92" s="1" t="s">
        <v>34</v>
      </c>
      <c r="G92" s="1" t="s">
        <v>58</v>
      </c>
      <c r="H92" s="1">
        <v>40</v>
      </c>
      <c r="I92" s="1" t="s">
        <v>43</v>
      </c>
      <c r="J92" s="1" t="s">
        <v>33</v>
      </c>
      <c r="K92" s="1" t="s">
        <v>37</v>
      </c>
      <c r="L92" s="1" t="s">
        <v>38</v>
      </c>
      <c r="M92" s="1">
        <v>0.97</v>
      </c>
      <c r="N92" s="1">
        <v>7.9</v>
      </c>
      <c r="O92" s="1">
        <v>106.9</v>
      </c>
      <c r="P92" s="1">
        <v>147.80000000000001</v>
      </c>
      <c r="Q92" s="20">
        <v>24165857</v>
      </c>
      <c r="R92" s="20">
        <v>25000000</v>
      </c>
      <c r="S92" s="8">
        <v>226758</v>
      </c>
      <c r="T92" s="1">
        <v>332</v>
      </c>
      <c r="U92" s="1">
        <v>314</v>
      </c>
      <c r="V92" s="1"/>
      <c r="W92" s="8">
        <v>461173</v>
      </c>
      <c r="X92" s="1" t="s">
        <v>440</v>
      </c>
      <c r="Y92" s="1" t="s">
        <v>441</v>
      </c>
      <c r="Z92" s="1" t="s">
        <v>442</v>
      </c>
      <c r="AA92" s="1" t="s">
        <v>443</v>
      </c>
      <c r="AB92" s="1"/>
      <c r="AC92" s="8">
        <v>258333.01133000001</v>
      </c>
      <c r="AD92" s="8">
        <v>470965.84663545567</v>
      </c>
      <c r="AE92" s="8">
        <v>-47485.762572744861</v>
      </c>
      <c r="AF92" s="8">
        <f>VALUE(SUBSTITUTE(LEFT(Z92, FIND(" ", Z92) - 1), ",", ""))</f>
        <v>415259</v>
      </c>
      <c r="AG92" s="15">
        <f ca="1">(AF92/YEARFRAC(A92,TODAY())/P92)</f>
        <v>1930.2600997841107</v>
      </c>
      <c r="AI92" s="8">
        <f>VALUE(SUBSTITUTE(LEFT(X92, FIND(" ", X92) - 1), ",", ""))</f>
        <v>842113</v>
      </c>
      <c r="AK92" s="20" t="str">
        <f>IF(AI92&gt;AC92, "YES","")</f>
        <v>YES</v>
      </c>
    </row>
    <row r="93" spans="1:37" x14ac:dyDescent="0.25">
      <c r="A93" s="5">
        <v>45714</v>
      </c>
      <c r="B93" s="1" t="s">
        <v>44</v>
      </c>
      <c r="C93" s="1">
        <v>40</v>
      </c>
      <c r="D93" s="1" t="s">
        <v>50</v>
      </c>
      <c r="E93" s="1" t="s">
        <v>33</v>
      </c>
      <c r="F93" s="1" t="s">
        <v>34</v>
      </c>
      <c r="G93" s="1" t="s">
        <v>31</v>
      </c>
      <c r="H93" s="1">
        <v>41</v>
      </c>
      <c r="I93" s="1" t="s">
        <v>32</v>
      </c>
      <c r="J93" s="1" t="s">
        <v>33</v>
      </c>
      <c r="K93" s="1" t="s">
        <v>37</v>
      </c>
      <c r="L93" s="1" t="s">
        <v>118</v>
      </c>
      <c r="M93" s="1">
        <v>0.76</v>
      </c>
      <c r="N93" s="1">
        <v>-24.9</v>
      </c>
      <c r="O93" s="1">
        <v>120.4</v>
      </c>
      <c r="P93" s="1">
        <v>0.3</v>
      </c>
      <c r="Q93" s="20">
        <v>5000000</v>
      </c>
      <c r="R93" s="20">
        <v>6537320</v>
      </c>
      <c r="S93" s="8">
        <v>-48476</v>
      </c>
      <c r="T93" s="1">
        <v>142</v>
      </c>
      <c r="U93" s="1">
        <v>127</v>
      </c>
      <c r="V93" s="1"/>
      <c r="W93" s="8">
        <v>237522</v>
      </c>
      <c r="X93" s="1" t="s">
        <v>981</v>
      </c>
      <c r="Y93" s="1" t="s">
        <v>982</v>
      </c>
      <c r="Z93" s="1" t="s">
        <v>983</v>
      </c>
      <c r="AA93" s="1"/>
      <c r="AB93" s="1"/>
      <c r="AC93" s="8">
        <v>60200</v>
      </c>
      <c r="AD93" s="8">
        <v>-45857.308287474269</v>
      </c>
      <c r="AE93" s="8">
        <v>-45857.308287474269</v>
      </c>
      <c r="AF93" s="8">
        <f>VALUE(SUBSTITUTE(LEFT(Z93, FIND(" ", Z93) - 1), ",", ""))</f>
        <v>15256</v>
      </c>
      <c r="AG93" s="15">
        <f ca="1">(AF93/YEARFRAC(A93,TODAY())/P93)</f>
        <v>64689.752650176684</v>
      </c>
      <c r="AI93" s="8">
        <f>VALUE(SUBSTITUTE(LEFT(X93, FIND(" ", X93) - 1), ",", ""))</f>
        <v>261008</v>
      </c>
      <c r="AK93" s="20" t="str">
        <f>IF(AI93&gt;AC93, "YES","")</f>
        <v>YES</v>
      </c>
    </row>
    <row r="94" spans="1:37" x14ac:dyDescent="0.25">
      <c r="A94" s="5">
        <v>44980</v>
      </c>
      <c r="B94" s="20" t="s">
        <v>58</v>
      </c>
      <c r="C94" s="20">
        <v>39</v>
      </c>
      <c r="D94" s="20" t="s">
        <v>43</v>
      </c>
      <c r="E94" s="20" t="s">
        <v>33</v>
      </c>
      <c r="F94" s="20" t="s">
        <v>34</v>
      </c>
      <c r="G94" s="20" t="s">
        <v>31</v>
      </c>
      <c r="H94" s="20">
        <v>37</v>
      </c>
      <c r="I94" s="20" t="s">
        <v>142</v>
      </c>
      <c r="J94" s="20" t="s">
        <v>33</v>
      </c>
      <c r="K94" s="20" t="s">
        <v>37</v>
      </c>
      <c r="L94" s="20" t="s">
        <v>38</v>
      </c>
      <c r="M94" s="20">
        <v>0.17</v>
      </c>
      <c r="N94" s="20">
        <v>-2.5</v>
      </c>
      <c r="O94" s="20">
        <v>214.6</v>
      </c>
      <c r="P94" s="20">
        <v>271.5</v>
      </c>
      <c r="Q94" s="20">
        <v>2509650</v>
      </c>
      <c r="R94" s="20">
        <v>15000000</v>
      </c>
      <c r="S94" s="8">
        <v>-75066</v>
      </c>
      <c r="T94" s="20">
        <v>451</v>
      </c>
      <c r="U94" s="20">
        <v>75</v>
      </c>
      <c r="V94" s="20"/>
      <c r="W94" s="8">
        <v>289754</v>
      </c>
      <c r="X94" s="20" t="s">
        <v>262</v>
      </c>
      <c r="Y94" s="20" t="s">
        <v>263</v>
      </c>
      <c r="Z94" s="20" t="s">
        <v>264</v>
      </c>
      <c r="AA94" s="20"/>
      <c r="AB94" s="20"/>
      <c r="AC94" s="8">
        <v>53857.089</v>
      </c>
      <c r="AD94" s="8">
        <v>115726.6628747433</v>
      </c>
      <c r="AE94" s="25">
        <v>-42445.023765114187</v>
      </c>
      <c r="AF94" s="8">
        <f>VALUE(SUBSTITUTE(LEFT(Z94, FIND(" ", Z94) - 1), ",", ""))</f>
        <v>23001</v>
      </c>
      <c r="AG94" s="15">
        <f ca="1">(AF94/YEARFRAC(A94,TODAY())/P94)</f>
        <v>30.3166635545841</v>
      </c>
      <c r="AI94" s="8">
        <f>VALUE(SUBSTITUTE(LEFT(X94, FIND(" ", X94) - 1), ",", ""))</f>
        <v>69853</v>
      </c>
      <c r="AJ94" s="20"/>
      <c r="AK94" s="20" t="str">
        <f>IF(AI94&gt;AC94, "YES","")</f>
        <v>YES</v>
      </c>
    </row>
    <row r="95" spans="1:37" x14ac:dyDescent="0.25">
      <c r="A95" s="5">
        <v>45623</v>
      </c>
      <c r="B95" s="20" t="s">
        <v>44</v>
      </c>
      <c r="C95" s="20">
        <v>41</v>
      </c>
      <c r="D95" s="20" t="s">
        <v>43</v>
      </c>
      <c r="E95" s="20" t="s">
        <v>33</v>
      </c>
      <c r="F95" s="20" t="s">
        <v>34</v>
      </c>
      <c r="G95" s="20" t="s">
        <v>58</v>
      </c>
      <c r="H95" s="20">
        <v>41</v>
      </c>
      <c r="I95" s="20" t="s">
        <v>36</v>
      </c>
      <c r="J95" s="20" t="s">
        <v>33</v>
      </c>
      <c r="K95" s="20" t="s">
        <v>37</v>
      </c>
      <c r="L95" s="20" t="s">
        <v>38</v>
      </c>
      <c r="M95" s="20">
        <v>1.52</v>
      </c>
      <c r="N95" s="20">
        <v>23</v>
      </c>
      <c r="O95" s="20">
        <v>23.5</v>
      </c>
      <c r="P95" s="20">
        <v>45.6</v>
      </c>
      <c r="Q95" s="20">
        <v>22766627</v>
      </c>
      <c r="R95" s="20">
        <v>15000000</v>
      </c>
      <c r="S95" s="8">
        <v>-1732426</v>
      </c>
      <c r="T95" s="20">
        <v>51</v>
      </c>
      <c r="U95" s="20">
        <v>42</v>
      </c>
      <c r="V95" s="20"/>
      <c r="W95" s="8">
        <v>-1698890</v>
      </c>
      <c r="X95" s="20" t="s">
        <v>904</v>
      </c>
      <c r="Y95" s="20" t="s">
        <v>905</v>
      </c>
      <c r="Z95" s="20" t="s">
        <v>906</v>
      </c>
      <c r="AA95" s="20" t="s">
        <v>907</v>
      </c>
      <c r="AB95" s="20"/>
      <c r="AC95" s="8">
        <v>53501.573450000004</v>
      </c>
      <c r="AD95" s="8">
        <v>273639.76171991799</v>
      </c>
      <c r="AE95" s="8">
        <v>-41658.077425129537</v>
      </c>
      <c r="AF95" s="8">
        <f>VALUE(SUBSTITUTE(LEFT(Z95, FIND(" ", Z95) - 1), ",", ""))</f>
        <v>72538</v>
      </c>
      <c r="AG95" s="15">
        <f ca="1">(AF95/YEARFRAC(A95,TODAY())/P95)</f>
        <v>1539.4312393887944</v>
      </c>
      <c r="AI95" s="8">
        <f>VALUE(SUBSTITUTE(LEFT(X95, FIND(" ", X95) - 1), ",", ""))</f>
        <v>87898</v>
      </c>
      <c r="AJ95" s="20"/>
      <c r="AK95" s="20" t="str">
        <f>IF(AI95&gt;AC95, "YES","")</f>
        <v>YES</v>
      </c>
    </row>
    <row r="96" spans="1:37" x14ac:dyDescent="0.25">
      <c r="A96" s="5">
        <v>45637</v>
      </c>
      <c r="B96" s="20" t="s">
        <v>58</v>
      </c>
      <c r="C96" s="20">
        <v>41</v>
      </c>
      <c r="D96" s="20" t="s">
        <v>284</v>
      </c>
      <c r="E96" s="20" t="s">
        <v>33</v>
      </c>
      <c r="F96" s="20" t="s">
        <v>37</v>
      </c>
      <c r="G96" s="20" t="s">
        <v>44</v>
      </c>
      <c r="H96" s="20">
        <v>40</v>
      </c>
      <c r="I96" s="20" t="s">
        <v>43</v>
      </c>
      <c r="J96" s="20" t="s">
        <v>33</v>
      </c>
      <c r="K96" s="20" t="s">
        <v>34</v>
      </c>
      <c r="L96" s="20" t="s">
        <v>38</v>
      </c>
      <c r="M96" s="20">
        <v>0.16</v>
      </c>
      <c r="N96" s="20">
        <v>193.4</v>
      </c>
      <c r="O96" s="20">
        <v>103.1</v>
      </c>
      <c r="P96" s="20">
        <v>18.600000000000001</v>
      </c>
      <c r="Q96" s="20">
        <v>5000000</v>
      </c>
      <c r="R96" s="20">
        <v>31133842</v>
      </c>
      <c r="S96" s="8">
        <v>2126</v>
      </c>
      <c r="T96" s="20">
        <v>96</v>
      </c>
      <c r="U96" s="20">
        <v>45</v>
      </c>
      <c r="V96" s="20"/>
      <c r="W96" s="8">
        <v>49764</v>
      </c>
      <c r="X96" s="20" t="s">
        <v>941</v>
      </c>
      <c r="Y96" s="20" t="s">
        <v>942</v>
      </c>
      <c r="Z96" s="20" t="s">
        <v>943</v>
      </c>
      <c r="AA96" s="20" t="s">
        <v>944</v>
      </c>
      <c r="AB96" s="20"/>
      <c r="AC96" s="8">
        <v>51550</v>
      </c>
      <c r="AD96" s="8">
        <v>370678.61691991781</v>
      </c>
      <c r="AE96" s="8">
        <v>-37600.28684200882</v>
      </c>
      <c r="AF96" s="8">
        <f>VALUE(SUBSTITUTE(LEFT(Z96, FIND(" ", Z96) - 1), ",", ""))</f>
        <v>173426</v>
      </c>
      <c r="AG96" s="15">
        <f ca="1">(AF96/YEARFRAC(A96,TODAY())/P96)</f>
        <v>9376.067759956748</v>
      </c>
      <c r="AI96" s="8">
        <f>VALUE(SUBSTITUTE(LEFT(X96, FIND(" ", X96) - 1), ",", ""))</f>
        <v>188538</v>
      </c>
      <c r="AJ96" s="20"/>
      <c r="AK96" s="20" t="str">
        <f>IF(AI96&gt;AC96, "YES","")</f>
        <v>YES</v>
      </c>
    </row>
    <row r="97" spans="1:37" x14ac:dyDescent="0.25">
      <c r="A97" s="5">
        <v>45153</v>
      </c>
      <c r="B97" s="20" t="s">
        <v>58</v>
      </c>
      <c r="C97" s="20">
        <v>39</v>
      </c>
      <c r="D97" s="20" t="s">
        <v>43</v>
      </c>
      <c r="E97" s="20" t="s">
        <v>33</v>
      </c>
      <c r="F97" s="20" t="s">
        <v>34</v>
      </c>
      <c r="G97" s="20" t="s">
        <v>58</v>
      </c>
      <c r="H97" s="20">
        <v>37</v>
      </c>
      <c r="I97" s="20" t="s">
        <v>284</v>
      </c>
      <c r="J97" s="20" t="s">
        <v>33</v>
      </c>
      <c r="K97" s="20" t="s">
        <v>37</v>
      </c>
      <c r="L97" s="20" t="s">
        <v>38</v>
      </c>
      <c r="M97" s="20">
        <v>0.33</v>
      </c>
      <c r="N97" s="20">
        <v>7.7</v>
      </c>
      <c r="O97" s="20">
        <v>515.4</v>
      </c>
      <c r="P97" s="20">
        <v>96.6</v>
      </c>
      <c r="Q97" s="20">
        <v>1651316</v>
      </c>
      <c r="R97" s="20">
        <v>5000000</v>
      </c>
      <c r="S97" s="8">
        <v>-439008</v>
      </c>
      <c r="T97" s="20">
        <v>419</v>
      </c>
      <c r="U97" s="20">
        <v>136</v>
      </c>
      <c r="V97" s="20"/>
      <c r="W97" s="8">
        <v>-287722</v>
      </c>
      <c r="X97" s="20" t="s">
        <v>350</v>
      </c>
      <c r="Y97" s="20" t="s">
        <v>351</v>
      </c>
      <c r="Z97" s="20" t="s">
        <v>352</v>
      </c>
      <c r="AA97" s="20"/>
      <c r="AB97" s="20"/>
      <c r="AC97" s="8">
        <v>85108.826639999999</v>
      </c>
      <c r="AD97" s="8">
        <v>73127.838344147865</v>
      </c>
      <c r="AE97" s="25">
        <v>-26429.387374325772</v>
      </c>
      <c r="AF97" s="8">
        <f>VALUE(SUBSTITUTE(LEFT(Z97, FIND(" ", Z97) - 1), ",", ""))</f>
        <v>14741</v>
      </c>
      <c r="AG97" s="15">
        <f ca="1">(AF97/YEARFRAC(A97,TODAY())/P97)</f>
        <v>65.869788641136779</v>
      </c>
      <c r="AI97" s="8">
        <f>VALUE(SUBSTITUTE(LEFT(X97, FIND(" ", X97) - 1), ",", ""))</f>
        <v>16351</v>
      </c>
      <c r="AJ97" s="20"/>
      <c r="AK97" s="20" t="str">
        <f>IF(AI97&gt;AC97, "YES","")</f>
        <v/>
      </c>
    </row>
    <row r="98" spans="1:37" x14ac:dyDescent="0.25">
      <c r="A98" s="5">
        <v>45401</v>
      </c>
      <c r="B98" s="20" t="s">
        <v>58</v>
      </c>
      <c r="C98" s="20">
        <v>41</v>
      </c>
      <c r="D98" s="20" t="s">
        <v>43</v>
      </c>
      <c r="E98" s="20" t="s">
        <v>33</v>
      </c>
      <c r="F98" s="20" t="s">
        <v>34</v>
      </c>
      <c r="G98" s="20" t="s">
        <v>58</v>
      </c>
      <c r="H98" s="20">
        <v>41</v>
      </c>
      <c r="I98" s="20" t="s">
        <v>36</v>
      </c>
      <c r="J98" s="20" t="s">
        <v>33</v>
      </c>
      <c r="K98" s="20" t="s">
        <v>37</v>
      </c>
      <c r="L98" s="20" t="s">
        <v>38</v>
      </c>
      <c r="M98" s="20">
        <v>0.32</v>
      </c>
      <c r="N98" s="20">
        <v>128.80000000000001</v>
      </c>
      <c r="O98" s="20">
        <v>50.9</v>
      </c>
      <c r="P98" s="20">
        <v>35.1</v>
      </c>
      <c r="Q98" s="20">
        <v>11320132</v>
      </c>
      <c r="R98" s="20">
        <v>35000000</v>
      </c>
      <c r="S98" s="8">
        <v>-4787652</v>
      </c>
      <c r="T98" s="20">
        <v>352</v>
      </c>
      <c r="U98" s="20">
        <v>72</v>
      </c>
      <c r="V98" s="20"/>
      <c r="W98" s="8">
        <v>-4423951</v>
      </c>
      <c r="X98" s="20" t="s">
        <v>695</v>
      </c>
      <c r="Y98" s="20" t="s">
        <v>696</v>
      </c>
      <c r="Z98" s="20" t="s">
        <v>697</v>
      </c>
      <c r="AA98" s="20" t="s">
        <v>698</v>
      </c>
      <c r="AB98" s="20"/>
      <c r="AC98" s="8">
        <v>57619.471879999997</v>
      </c>
      <c r="AD98" s="8">
        <v>684121.86381492135</v>
      </c>
      <c r="AE98" s="8">
        <v>-19768.14425236324</v>
      </c>
      <c r="AF98" s="8">
        <f>VALUE(SUBSTITUTE(LEFT(Z98, FIND(" ", Z98) - 1), ",", ""))</f>
        <v>151008</v>
      </c>
      <c r="AG98" s="15">
        <f ca="1">(AF98/YEARFRAC(A98,TODAY())/P98)</f>
        <v>2625.0847457627115</v>
      </c>
      <c r="AI98" s="8">
        <f>VALUE(SUBSTITUTE(LEFT(X98, FIND(" ", X98) - 1), ",", ""))</f>
        <v>419581</v>
      </c>
      <c r="AJ98" s="20"/>
      <c r="AK98" s="20" t="str">
        <f>IF(AI98&gt;AC98, "YES","")</f>
        <v>YES</v>
      </c>
    </row>
    <row r="99" spans="1:37" x14ac:dyDescent="0.25">
      <c r="A99" s="5">
        <v>45688</v>
      </c>
      <c r="B99" s="20" t="s">
        <v>44</v>
      </c>
      <c r="C99" s="20">
        <v>40</v>
      </c>
      <c r="D99" s="20" t="s">
        <v>50</v>
      </c>
      <c r="E99" s="20" t="s">
        <v>33</v>
      </c>
      <c r="F99" s="20" t="s">
        <v>34</v>
      </c>
      <c r="G99" s="20" t="s">
        <v>58</v>
      </c>
      <c r="H99" s="20">
        <v>41</v>
      </c>
      <c r="I99" s="20" t="s">
        <v>68</v>
      </c>
      <c r="J99" s="20" t="s">
        <v>33</v>
      </c>
      <c r="K99" s="20" t="s">
        <v>37</v>
      </c>
      <c r="L99" s="20" t="s">
        <v>38</v>
      </c>
      <c r="M99" s="20">
        <v>1.61</v>
      </c>
      <c r="N99" s="20">
        <v>-7.8</v>
      </c>
      <c r="O99" s="20">
        <v>219.1</v>
      </c>
      <c r="P99" s="20">
        <v>1.2</v>
      </c>
      <c r="Q99" s="20">
        <v>5000000</v>
      </c>
      <c r="R99" s="20">
        <v>3105739</v>
      </c>
      <c r="S99" s="8">
        <v>-339876</v>
      </c>
      <c r="T99" s="20">
        <v>147</v>
      </c>
      <c r="U99" s="20">
        <v>249</v>
      </c>
      <c r="V99" s="20"/>
      <c r="W99" s="8">
        <v>-55391</v>
      </c>
      <c r="X99" s="20" t="s">
        <v>967</v>
      </c>
      <c r="Y99" s="20" t="s">
        <v>968</v>
      </c>
      <c r="Z99" s="20" t="s">
        <v>969</v>
      </c>
      <c r="AA99" s="20"/>
      <c r="AB99" s="20"/>
      <c r="AC99" s="8">
        <v>109550</v>
      </c>
      <c r="AD99" s="8">
        <v>-14890.860125667299</v>
      </c>
      <c r="AE99" s="8">
        <v>-14890.860125667299</v>
      </c>
      <c r="AF99" s="8">
        <f>VALUE(SUBSTITUTE(LEFT(Z99, FIND(" ", Z99) - 1), ",", ""))</f>
        <v>26327</v>
      </c>
      <c r="AG99" s="15">
        <f ca="1">(AF99/YEARFRAC(A99,TODAY())/P99)</f>
        <v>25560.194174757286</v>
      </c>
      <c r="AI99" s="8">
        <f>VALUE(SUBSTITUTE(LEFT(X99, FIND(" ", X99) - 1), ",", ""))</f>
        <v>368038</v>
      </c>
      <c r="AJ99" s="20"/>
      <c r="AK99" s="20" t="str">
        <f>IF(AI99&gt;AC99, "YES","")</f>
        <v>YES</v>
      </c>
    </row>
    <row r="100" spans="1:37" x14ac:dyDescent="0.25">
      <c r="A100" s="5">
        <v>45623</v>
      </c>
      <c r="B100" s="20" t="s">
        <v>44</v>
      </c>
      <c r="C100" s="20">
        <v>40</v>
      </c>
      <c r="D100" s="20" t="s">
        <v>45</v>
      </c>
      <c r="E100" s="20" t="s">
        <v>33</v>
      </c>
      <c r="F100" s="20" t="s">
        <v>34</v>
      </c>
      <c r="G100" s="20" t="s">
        <v>58</v>
      </c>
      <c r="H100" s="20">
        <v>41</v>
      </c>
      <c r="I100" s="20" t="s">
        <v>284</v>
      </c>
      <c r="J100" s="20" t="s">
        <v>33</v>
      </c>
      <c r="K100" s="20" t="s">
        <v>37</v>
      </c>
      <c r="L100" s="20" t="s">
        <v>38</v>
      </c>
      <c r="M100" s="20">
        <v>1.34</v>
      </c>
      <c r="N100" s="20">
        <v>2.1</v>
      </c>
      <c r="O100" s="20">
        <v>169.8</v>
      </c>
      <c r="P100" s="20">
        <v>41.8</v>
      </c>
      <c r="Q100" s="8">
        <v>6676816</v>
      </c>
      <c r="R100" s="8">
        <v>5000000</v>
      </c>
      <c r="S100" s="8">
        <v>-600512</v>
      </c>
      <c r="T100" s="20">
        <v>79</v>
      </c>
      <c r="U100" s="20">
        <v>103</v>
      </c>
      <c r="V100" s="20"/>
      <c r="W100" s="8">
        <v>-506810</v>
      </c>
      <c r="X100" s="20" t="s">
        <v>911</v>
      </c>
      <c r="Y100" s="20" t="s">
        <v>912</v>
      </c>
      <c r="Z100" s="20" t="s">
        <v>913</v>
      </c>
      <c r="AA100" s="20"/>
      <c r="AB100" s="20"/>
      <c r="AC100" s="8">
        <v>113372.33568</v>
      </c>
      <c r="AD100" s="8">
        <v>5065.9002261464784</v>
      </c>
      <c r="AE100" s="8">
        <v>5065.9002261464784</v>
      </c>
      <c r="AF100" s="8">
        <f>VALUE(SUBSTITUTE(LEFT(Z100, FIND(" ", Z100) - 1), ",", ""))</f>
        <v>338</v>
      </c>
      <c r="AG100" s="15">
        <f ca="1">(AF100/YEARFRAC(A100,TODAY())/P100)</f>
        <v>7.8252816792714919</v>
      </c>
      <c r="AI100" s="8">
        <f>VALUE(SUBSTITUTE(LEFT(X100, FIND(" ", X100) - 1), ",", ""))</f>
        <v>241953</v>
      </c>
      <c r="AJ100" s="20"/>
      <c r="AK100" s="20" t="str">
        <f>IF(AI100&gt;AC100, "YES","")</f>
        <v>YES</v>
      </c>
    </row>
    <row r="101" spans="1:37" x14ac:dyDescent="0.25">
      <c r="A101" s="5">
        <v>45617</v>
      </c>
      <c r="B101" s="1" t="s">
        <v>58</v>
      </c>
      <c r="C101" s="1">
        <v>41</v>
      </c>
      <c r="D101" s="1" t="s">
        <v>36</v>
      </c>
      <c r="E101" s="1" t="s">
        <v>33</v>
      </c>
      <c r="F101" s="1" t="s">
        <v>37</v>
      </c>
      <c r="G101" s="1" t="s">
        <v>44</v>
      </c>
      <c r="H101" s="1">
        <v>40</v>
      </c>
      <c r="I101" s="1" t="s">
        <v>45</v>
      </c>
      <c r="J101" s="1" t="s">
        <v>33</v>
      </c>
      <c r="K101" s="1" t="s">
        <v>34</v>
      </c>
      <c r="L101" s="1" t="s">
        <v>38</v>
      </c>
      <c r="M101" s="1">
        <v>1.79</v>
      </c>
      <c r="N101" s="1">
        <v>11.7</v>
      </c>
      <c r="O101" s="1">
        <v>43.4</v>
      </c>
      <c r="P101" s="1">
        <v>52</v>
      </c>
      <c r="Q101" s="8">
        <v>15000000</v>
      </c>
      <c r="R101" s="8">
        <v>8370084</v>
      </c>
      <c r="S101" s="8">
        <v>-2154827</v>
      </c>
      <c r="T101" s="1">
        <v>42</v>
      </c>
      <c r="U101" s="1">
        <v>78</v>
      </c>
      <c r="V101" s="1"/>
      <c r="W101" s="8">
        <v>-2087653</v>
      </c>
      <c r="X101" s="1" t="s">
        <v>546</v>
      </c>
      <c r="Y101" s="1" t="s">
        <v>547</v>
      </c>
      <c r="Z101" s="1" t="s">
        <v>548</v>
      </c>
      <c r="AA101" s="1" t="s">
        <v>42</v>
      </c>
      <c r="AB101" s="1"/>
      <c r="AC101" s="8">
        <v>65100</v>
      </c>
      <c r="AD101" s="8">
        <v>9328.175901437382</v>
      </c>
      <c r="AE101" s="8">
        <v>9328.175901437382</v>
      </c>
      <c r="AF101" s="8">
        <f>VALUE(SUBSTITUTE(LEFT(Z101, FIND(" ", Z101) - 1), ",", ""))</f>
        <v>186572</v>
      </c>
      <c r="AG101" s="15">
        <f ca="1">(AF101/YEARFRAC(A101,TODAY())/P101)</f>
        <v>3417.069597069597</v>
      </c>
      <c r="AI101" s="8">
        <f>VALUE(SUBSTITUTE(LEFT(X101, FIND(" ", X101) - 1), ",", ""))</f>
        <v>193496</v>
      </c>
      <c r="AK101" s="20" t="str">
        <f>IF(AI101&gt;AC101, "YES","")</f>
        <v>YES</v>
      </c>
    </row>
    <row r="102" spans="1:37" x14ac:dyDescent="0.25">
      <c r="A102" s="5">
        <v>45306</v>
      </c>
      <c r="B102" s="1" t="s">
        <v>57</v>
      </c>
      <c r="C102" s="1">
        <v>39</v>
      </c>
      <c r="D102" s="1" t="s">
        <v>43</v>
      </c>
      <c r="E102" s="1" t="s">
        <v>33</v>
      </c>
      <c r="F102" s="1" t="s">
        <v>34</v>
      </c>
      <c r="G102" s="1" t="s">
        <v>31</v>
      </c>
      <c r="H102" s="1">
        <v>39</v>
      </c>
      <c r="I102" s="1" t="s">
        <v>43</v>
      </c>
      <c r="J102" s="1" t="s">
        <v>33</v>
      </c>
      <c r="K102" s="1" t="s">
        <v>37</v>
      </c>
      <c r="L102" s="1" t="s">
        <v>118</v>
      </c>
      <c r="M102" s="1">
        <v>0.35</v>
      </c>
      <c r="N102" s="1">
        <v>-14.2</v>
      </c>
      <c r="O102" s="1">
        <v>35.5</v>
      </c>
      <c r="P102" s="1">
        <v>145.1</v>
      </c>
      <c r="Q102" s="8">
        <v>40000000</v>
      </c>
      <c r="R102" s="8">
        <v>115246484</v>
      </c>
      <c r="S102" s="8">
        <v>-2180436</v>
      </c>
      <c r="T102" s="1">
        <v>117</v>
      </c>
      <c r="U102" s="1">
        <v>45</v>
      </c>
      <c r="V102" s="1"/>
      <c r="W102" s="8">
        <v>-1445012</v>
      </c>
      <c r="X102" s="1" t="s">
        <v>392</v>
      </c>
      <c r="Y102" s="1" t="s">
        <v>393</v>
      </c>
      <c r="Z102" s="1" t="s">
        <v>394</v>
      </c>
      <c r="AA102" s="1" t="s">
        <v>42</v>
      </c>
      <c r="AB102" s="1"/>
      <c r="AC102" s="8">
        <v>142000</v>
      </c>
      <c r="AD102" s="8">
        <v>35646.350636550458</v>
      </c>
      <c r="AE102" s="8">
        <v>11367.25254059769</v>
      </c>
      <c r="AF102" s="8">
        <f>VALUE(SUBSTITUTE(LEFT(Z102, FIND(" ", Z102) - 1), ",", ""))</f>
        <v>292096</v>
      </c>
      <c r="AG102" s="15">
        <f ca="1">(AF102/YEARFRAC(A102,TODAY())/P102)</f>
        <v>1059.5088686568249</v>
      </c>
      <c r="AI102" s="8">
        <f>VALUE(SUBSTITUTE(LEFT(X102, FIND(" ", X102) - 1), ",", ""))</f>
        <v>942679</v>
      </c>
      <c r="AK102" s="20" t="str">
        <f>IF(AI102&gt;AC102, "YES","")</f>
        <v>YES</v>
      </c>
    </row>
    <row r="103" spans="1:37" x14ac:dyDescent="0.25">
      <c r="A103" s="5">
        <v>45617</v>
      </c>
      <c r="B103" s="1" t="s">
        <v>57</v>
      </c>
      <c r="C103" s="1">
        <v>42</v>
      </c>
      <c r="D103" s="1" t="s">
        <v>43</v>
      </c>
      <c r="E103" s="1" t="s">
        <v>33</v>
      </c>
      <c r="F103" s="1" t="s">
        <v>34</v>
      </c>
      <c r="G103" s="1" t="s">
        <v>31</v>
      </c>
      <c r="H103" s="1">
        <v>42</v>
      </c>
      <c r="I103" s="1" t="s">
        <v>43</v>
      </c>
      <c r="J103" s="1" t="s">
        <v>33</v>
      </c>
      <c r="K103" s="1" t="s">
        <v>37</v>
      </c>
      <c r="L103" s="1" t="s">
        <v>118</v>
      </c>
      <c r="M103" s="1">
        <v>0.38</v>
      </c>
      <c r="N103" s="1">
        <v>-5.9</v>
      </c>
      <c r="O103" s="1">
        <v>12.4</v>
      </c>
      <c r="P103" s="1">
        <v>397.2</v>
      </c>
      <c r="Q103" s="8">
        <v>50000000</v>
      </c>
      <c r="R103" s="8">
        <v>132145511</v>
      </c>
      <c r="S103" s="8">
        <v>-2902502</v>
      </c>
      <c r="T103" s="1">
        <v>110</v>
      </c>
      <c r="U103" s="1">
        <v>43</v>
      </c>
      <c r="V103" s="1"/>
      <c r="W103" s="8">
        <v>-2400486</v>
      </c>
      <c r="X103" s="1" t="s">
        <v>526</v>
      </c>
      <c r="Y103" s="1" t="s">
        <v>527</v>
      </c>
      <c r="Z103" s="1" t="s">
        <v>528</v>
      </c>
      <c r="AA103" s="1" t="s">
        <v>42</v>
      </c>
      <c r="AB103" s="1"/>
      <c r="AC103" s="8">
        <v>62000</v>
      </c>
      <c r="AD103" s="8">
        <v>192133.15294839119</v>
      </c>
      <c r="AE103" s="8">
        <v>11928.51139639923</v>
      </c>
      <c r="AF103" s="8">
        <f>VALUE(SUBSTITUTE(LEFT(Z103, FIND(" ", Z103) - 1), ",", ""))</f>
        <v>404219</v>
      </c>
      <c r="AG103" s="15">
        <f ca="1">(AF103/YEARFRAC(A103,TODAY())/P103)</f>
        <v>969.2106651321152</v>
      </c>
      <c r="AI103" s="8">
        <f>VALUE(SUBSTITUTE(LEFT(X103, FIND(" ", X103) - 1), ",", ""))</f>
        <v>677742</v>
      </c>
      <c r="AK103" s="20" t="str">
        <f>IF(AI103&gt;AC103, "YES","")</f>
        <v>YES</v>
      </c>
    </row>
    <row r="104" spans="1:37" x14ac:dyDescent="0.25">
      <c r="A104" s="17">
        <v>45867</v>
      </c>
      <c r="B104" s="12" t="s">
        <v>58</v>
      </c>
      <c r="C104" s="12">
        <v>43</v>
      </c>
      <c r="D104" s="12" t="s">
        <v>43</v>
      </c>
      <c r="E104" s="12" t="s">
        <v>33</v>
      </c>
      <c r="F104" s="12" t="s">
        <v>34</v>
      </c>
      <c r="G104" s="12" t="s">
        <v>58</v>
      </c>
      <c r="H104" s="12">
        <v>43</v>
      </c>
      <c r="I104" s="12" t="s">
        <v>36</v>
      </c>
      <c r="J104" s="12" t="s">
        <v>33</v>
      </c>
      <c r="K104" s="12" t="s">
        <v>37</v>
      </c>
      <c r="L104" s="12" t="s">
        <v>38</v>
      </c>
      <c r="M104" s="12">
        <v>0.33</v>
      </c>
      <c r="N104" s="12">
        <v>124.5</v>
      </c>
      <c r="O104" s="12">
        <v>55.7</v>
      </c>
      <c r="P104" s="12">
        <v>39.9</v>
      </c>
      <c r="Q104" s="16">
        <v>11500000</v>
      </c>
      <c r="R104" s="16">
        <v>35000000</v>
      </c>
      <c r="S104" s="16">
        <v>-4551770</v>
      </c>
      <c r="T104" s="12">
        <v>305</v>
      </c>
      <c r="U104" s="12">
        <v>54</v>
      </c>
      <c r="V104" s="12"/>
      <c r="W104" s="16">
        <v>-3803514</v>
      </c>
      <c r="X104" s="12" t="s">
        <v>1215</v>
      </c>
      <c r="Y104" s="12" t="s">
        <v>1216</v>
      </c>
      <c r="Z104" s="12" t="s">
        <v>1217</v>
      </c>
      <c r="AA104" s="12"/>
      <c r="AB104" s="24"/>
      <c r="AC104" s="25">
        <v>64055</v>
      </c>
      <c r="AD104" s="25">
        <v>710770.02053388092</v>
      </c>
      <c r="AE104" s="26">
        <v>14227.98815767525</v>
      </c>
      <c r="AF104" s="26">
        <f>VALUE(SUBSTITUTE(LEFT(Z104, FIND(" ", Z104) - 1), ",", ""))</f>
        <v>-23454</v>
      </c>
      <c r="AG104" s="27">
        <f ca="1">(AF104/YEARFRAC(A104,TODAY())/P104)</f>
        <v>-1627.8079814921921</v>
      </c>
      <c r="AH104" s="24" t="s">
        <v>1238</v>
      </c>
      <c r="AI104" s="25">
        <f>VALUE(SUBSTITUTE(LEFT(X104, FIND(" ", X104) - 1), ",", ""))</f>
        <v>-6511</v>
      </c>
      <c r="AJ104" s="24"/>
      <c r="AK104" s="24" t="str">
        <f>IF(AI104&gt;AC104, "YES","")</f>
        <v/>
      </c>
    </row>
    <row r="105" spans="1:37" x14ac:dyDescent="0.25">
      <c r="A105" s="5">
        <v>45496</v>
      </c>
      <c r="B105" s="1" t="s">
        <v>58</v>
      </c>
      <c r="C105" s="1">
        <v>41</v>
      </c>
      <c r="D105" s="1" t="s">
        <v>284</v>
      </c>
      <c r="E105" s="1" t="s">
        <v>33</v>
      </c>
      <c r="F105" s="1" t="s">
        <v>37</v>
      </c>
      <c r="G105" s="1" t="s">
        <v>35</v>
      </c>
      <c r="H105" s="1">
        <v>40</v>
      </c>
      <c r="I105" s="1" t="s">
        <v>43</v>
      </c>
      <c r="J105" s="1" t="s">
        <v>33</v>
      </c>
      <c r="K105" s="1" t="s">
        <v>34</v>
      </c>
      <c r="L105" s="1" t="s">
        <v>38</v>
      </c>
      <c r="M105" s="1">
        <v>0.81</v>
      </c>
      <c r="N105" s="1">
        <v>245.5</v>
      </c>
      <c r="O105" s="1">
        <v>175.2</v>
      </c>
      <c r="P105" s="1">
        <v>25.2</v>
      </c>
      <c r="Q105" s="8">
        <v>5000000</v>
      </c>
      <c r="R105" s="8">
        <v>6205977</v>
      </c>
      <c r="S105" s="8">
        <v>-124159</v>
      </c>
      <c r="T105" s="1">
        <v>143</v>
      </c>
      <c r="U105" s="1">
        <v>307</v>
      </c>
      <c r="V105" s="1"/>
      <c r="W105" s="8">
        <v>-10209</v>
      </c>
      <c r="X105" s="1" t="s">
        <v>802</v>
      </c>
      <c r="Y105" s="1" t="s">
        <v>803</v>
      </c>
      <c r="Z105" s="1" t="s">
        <v>804</v>
      </c>
      <c r="AA105" s="1" t="s">
        <v>805</v>
      </c>
      <c r="AB105" s="1"/>
      <c r="AC105" s="8">
        <v>87599.999999999985</v>
      </c>
      <c r="AD105" s="8">
        <v>524974.26056919922</v>
      </c>
      <c r="AE105" s="8">
        <v>22978.051027293721</v>
      </c>
      <c r="AF105" s="8">
        <f>VALUE(SUBSTITUTE(LEFT(Z105, FIND(" ", Z105) - 1), ",", ""))</f>
        <v>304009</v>
      </c>
      <c r="AG105" s="15">
        <f ca="1">(AF105/YEARFRAC(A105,TODAY())/P105)</f>
        <v>8756.0195852534562</v>
      </c>
      <c r="AI105" s="8">
        <f>VALUE(SUBSTITUTE(LEFT(X105, FIND(" ", X105) - 1), ",", ""))</f>
        <v>322051</v>
      </c>
      <c r="AK105" s="20" t="str">
        <f>IF(AI105&gt;AC105, "YES","")</f>
        <v>YES</v>
      </c>
    </row>
    <row r="106" spans="1:37" x14ac:dyDescent="0.25">
      <c r="A106" s="5">
        <v>45496</v>
      </c>
      <c r="B106" s="1" t="s">
        <v>58</v>
      </c>
      <c r="C106" s="1">
        <v>40</v>
      </c>
      <c r="D106" s="1" t="s">
        <v>43</v>
      </c>
      <c r="E106" s="1" t="s">
        <v>33</v>
      </c>
      <c r="F106" s="1" t="s">
        <v>34</v>
      </c>
      <c r="G106" s="1" t="s">
        <v>58</v>
      </c>
      <c r="H106" s="1">
        <v>41</v>
      </c>
      <c r="I106" s="1" t="s">
        <v>284</v>
      </c>
      <c r="J106" s="1" t="s">
        <v>33</v>
      </c>
      <c r="K106" s="1" t="s">
        <v>37</v>
      </c>
      <c r="L106" s="1" t="s">
        <v>38</v>
      </c>
      <c r="M106" s="1">
        <v>1.21</v>
      </c>
      <c r="N106" s="1">
        <v>174.1</v>
      </c>
      <c r="O106" s="1">
        <v>84.4</v>
      </c>
      <c r="P106" s="1">
        <v>34.5</v>
      </c>
      <c r="Q106" s="8">
        <v>6044194</v>
      </c>
      <c r="R106" s="8">
        <v>5000000</v>
      </c>
      <c r="S106" s="8">
        <v>-231676</v>
      </c>
      <c r="T106" s="1">
        <v>292</v>
      </c>
      <c r="U106" s="1">
        <v>143</v>
      </c>
      <c r="V106" s="1"/>
      <c r="W106" s="8">
        <v>-117726</v>
      </c>
      <c r="X106" s="1" t="s">
        <v>790</v>
      </c>
      <c r="Y106" s="1" t="s">
        <v>791</v>
      </c>
      <c r="Z106" s="1" t="s">
        <v>792</v>
      </c>
      <c r="AA106" s="1" t="s">
        <v>793</v>
      </c>
      <c r="AB106" s="1"/>
      <c r="AC106" s="8">
        <v>51012.997360000008</v>
      </c>
      <c r="AD106" s="8">
        <v>374652.6590948666</v>
      </c>
      <c r="AE106" s="8">
        <v>26880.531416929211</v>
      </c>
      <c r="AF106" s="8">
        <f>VALUE(SUBSTITUTE(LEFT(Z106, FIND(" ", Z106) - 1), ",", ""))</f>
        <v>89193</v>
      </c>
      <c r="AG106" s="15">
        <f ca="1">(AF106/YEARFRAC(A106,TODAY())/P106)</f>
        <v>1876.4305750350629</v>
      </c>
      <c r="AI106" s="8">
        <f>VALUE(SUBSTITUTE(LEFT(X106, FIND(" ", X106) - 1), ",", ""))</f>
        <v>93087</v>
      </c>
      <c r="AK106" s="20" t="str">
        <f>IF(AI106&gt;AC106, "YES","")</f>
        <v>YES</v>
      </c>
    </row>
    <row r="107" spans="1:37" x14ac:dyDescent="0.25">
      <c r="A107" s="5">
        <v>45447</v>
      </c>
      <c r="B107" s="20" t="s">
        <v>58</v>
      </c>
      <c r="C107" s="20">
        <v>41</v>
      </c>
      <c r="D107" s="20" t="s">
        <v>284</v>
      </c>
      <c r="E107" s="20" t="s">
        <v>33</v>
      </c>
      <c r="F107" s="20" t="s">
        <v>37</v>
      </c>
      <c r="G107" s="20" t="s">
        <v>58</v>
      </c>
      <c r="H107" s="20">
        <v>40</v>
      </c>
      <c r="I107" s="20" t="s">
        <v>43</v>
      </c>
      <c r="J107" s="20" t="s">
        <v>33</v>
      </c>
      <c r="K107" s="20" t="s">
        <v>34</v>
      </c>
      <c r="L107" s="20" t="s">
        <v>38</v>
      </c>
      <c r="M107" s="20">
        <v>0.81</v>
      </c>
      <c r="N107" s="20">
        <v>227</v>
      </c>
      <c r="O107" s="20">
        <v>118.2</v>
      </c>
      <c r="P107" s="20">
        <v>31.8</v>
      </c>
      <c r="Q107" s="8">
        <v>5000000</v>
      </c>
      <c r="R107" s="8">
        <v>6179518</v>
      </c>
      <c r="S107" s="8">
        <v>-228591</v>
      </c>
      <c r="T107" s="20">
        <v>155</v>
      </c>
      <c r="U107" s="20">
        <v>301</v>
      </c>
      <c r="V107" s="20"/>
      <c r="W107" s="8">
        <v>-90130</v>
      </c>
      <c r="X107" s="20" t="s">
        <v>723</v>
      </c>
      <c r="Y107" s="20" t="s">
        <v>724</v>
      </c>
      <c r="Z107" s="20" t="s">
        <v>725</v>
      </c>
      <c r="AA107" s="20" t="s">
        <v>726</v>
      </c>
      <c r="AB107" s="1"/>
      <c r="AC107" s="8">
        <v>59100</v>
      </c>
      <c r="AD107" s="8">
        <v>399937.46033839841</v>
      </c>
      <c r="AE107" s="8">
        <v>39019.709935191087</v>
      </c>
      <c r="AF107" s="8">
        <f>VALUE(SUBSTITUTE(LEFT(Z107, FIND(" ", Z107) - 1), ",", ""))</f>
        <v>195938</v>
      </c>
      <c r="AG107" s="15">
        <f ca="1">(AF107/YEARFRAC(A107,TODAY())/P107)</f>
        <v>4070.0294270382551</v>
      </c>
      <c r="AI107" s="8">
        <f>VALUE(SUBSTITUTE(LEFT(X107, FIND(" ", X107) - 1), ",", ""))</f>
        <v>198076</v>
      </c>
      <c r="AK107" s="20" t="str">
        <f>IF(AI107&gt;AC107, "YES","")</f>
        <v>YES</v>
      </c>
    </row>
    <row r="108" spans="1:37" x14ac:dyDescent="0.25">
      <c r="A108" s="17">
        <v>45925</v>
      </c>
      <c r="B108" s="12" t="s">
        <v>58</v>
      </c>
      <c r="C108" s="12">
        <v>43</v>
      </c>
      <c r="D108" s="12" t="s">
        <v>43</v>
      </c>
      <c r="E108" s="12" t="s">
        <v>33</v>
      </c>
      <c r="F108" s="12" t="s">
        <v>34</v>
      </c>
      <c r="G108" s="12" t="s">
        <v>58</v>
      </c>
      <c r="H108" s="12">
        <v>43</v>
      </c>
      <c r="I108" s="12" t="s">
        <v>36</v>
      </c>
      <c r="J108" s="12" t="s">
        <v>33</v>
      </c>
      <c r="K108" s="12" t="s">
        <v>37</v>
      </c>
      <c r="L108" s="12" t="s">
        <v>38</v>
      </c>
      <c r="M108" s="12">
        <v>0.34</v>
      </c>
      <c r="N108" s="12">
        <v>127.2</v>
      </c>
      <c r="O108" s="12">
        <v>43.8</v>
      </c>
      <c r="P108" s="12">
        <v>30.6</v>
      </c>
      <c r="Q108" s="16">
        <v>11800000</v>
      </c>
      <c r="R108" s="16">
        <v>35000000</v>
      </c>
      <c r="S108" s="16">
        <v>-4605086</v>
      </c>
      <c r="T108" s="12">
        <v>297</v>
      </c>
      <c r="U108" s="12">
        <v>50</v>
      </c>
      <c r="V108" s="12"/>
      <c r="W108" s="16">
        <v>-3712898</v>
      </c>
      <c r="X108" s="12" t="s">
        <v>1195</v>
      </c>
      <c r="Y108" s="12" t="s">
        <v>1196</v>
      </c>
      <c r="Z108" s="12" t="s">
        <v>1197</v>
      </c>
      <c r="AA108" s="12"/>
      <c r="AB108" s="24"/>
      <c r="AC108" s="25">
        <v>51683.999999999993</v>
      </c>
      <c r="AD108" s="25">
        <v>743152.96372347709</v>
      </c>
      <c r="AE108" s="26">
        <v>39799.847913608297</v>
      </c>
      <c r="AF108" s="26">
        <f>VALUE(SUBSTITUTE(LEFT(Z108, FIND(" ", Z108) - 1), ",", ""))</f>
        <v>-15301</v>
      </c>
      <c r="AG108" s="27">
        <f ca="1">(AF108/YEARFRAC(A108,TODAY())/P108)</f>
        <v>-2432.5914149443565</v>
      </c>
      <c r="AH108" s="24"/>
      <c r="AI108" s="25">
        <f>VALUE(SUBSTITUTE(LEFT(X108, FIND(" ", X108) - 1), ",", ""))</f>
        <v>-10873</v>
      </c>
      <c r="AJ108" s="24"/>
      <c r="AK108" s="24" t="str">
        <f>IF(AI108&gt;AC108, "YES","")</f>
        <v/>
      </c>
    </row>
    <row r="109" spans="1:37" x14ac:dyDescent="0.25">
      <c r="A109" s="5">
        <v>45447</v>
      </c>
      <c r="B109" s="1" t="s">
        <v>58</v>
      </c>
      <c r="C109" s="1">
        <v>41</v>
      </c>
      <c r="D109" s="1" t="s">
        <v>43</v>
      </c>
      <c r="E109" s="1" t="s">
        <v>33</v>
      </c>
      <c r="F109" s="1" t="s">
        <v>34</v>
      </c>
      <c r="G109" s="1" t="s">
        <v>58</v>
      </c>
      <c r="H109" s="1">
        <v>41</v>
      </c>
      <c r="I109" s="1" t="s">
        <v>36</v>
      </c>
      <c r="J109" s="1" t="s">
        <v>33</v>
      </c>
      <c r="K109" s="1" t="s">
        <v>37</v>
      </c>
      <c r="L109" s="1" t="s">
        <v>38</v>
      </c>
      <c r="M109" s="1">
        <v>0.33</v>
      </c>
      <c r="N109" s="1">
        <v>141.80000000000001</v>
      </c>
      <c r="O109" s="1">
        <v>66.5</v>
      </c>
      <c r="P109" s="1">
        <v>35.6</v>
      </c>
      <c r="Q109" s="8">
        <v>11540660</v>
      </c>
      <c r="R109" s="8">
        <v>35000000</v>
      </c>
      <c r="S109" s="8">
        <v>-4776114</v>
      </c>
      <c r="T109" s="1">
        <v>319</v>
      </c>
      <c r="U109" s="1">
        <v>58</v>
      </c>
      <c r="V109" s="1"/>
      <c r="W109" s="8">
        <v>-4605873</v>
      </c>
      <c r="X109" s="1" t="s">
        <v>719</v>
      </c>
      <c r="Y109" s="1" t="s">
        <v>720</v>
      </c>
      <c r="Z109" s="1" t="s">
        <v>721</v>
      </c>
      <c r="AA109" s="1" t="s">
        <v>722</v>
      </c>
      <c r="AB109" s="1"/>
      <c r="AC109" s="8">
        <v>76745.388999999996</v>
      </c>
      <c r="AD109" s="8">
        <v>750565.6663655031</v>
      </c>
      <c r="AE109" s="8">
        <v>41319.429964890347</v>
      </c>
      <c r="AF109" s="8">
        <f>VALUE(SUBSTITUTE(LEFT(Z109, FIND(" ", Z109) - 1), ",", ""))</f>
        <v>186813</v>
      </c>
      <c r="AG109" s="15">
        <f ca="1">(AF109/YEARFRAC(A109,TODAY())/P109)</f>
        <v>3466.275641686424</v>
      </c>
      <c r="AI109" s="8">
        <f>VALUE(SUBSTITUTE(LEFT(X109, FIND(" ", X109) - 1), ",", ""))</f>
        <v>452628</v>
      </c>
      <c r="AK109" s="20" t="str">
        <f>IF(AI109&gt;AC109, "YES","")</f>
        <v>YES</v>
      </c>
    </row>
    <row r="110" spans="1:37" x14ac:dyDescent="0.25">
      <c r="A110" s="5">
        <v>45637</v>
      </c>
      <c r="B110" s="20" t="s">
        <v>35</v>
      </c>
      <c r="C110" s="20">
        <v>40</v>
      </c>
      <c r="D110" s="20" t="s">
        <v>82</v>
      </c>
      <c r="E110" s="20" t="s">
        <v>33</v>
      </c>
      <c r="F110" s="20" t="s">
        <v>34</v>
      </c>
      <c r="G110" s="20" t="s">
        <v>58</v>
      </c>
      <c r="H110" s="20">
        <v>41</v>
      </c>
      <c r="I110" s="20" t="s">
        <v>284</v>
      </c>
      <c r="J110" s="20" t="s">
        <v>33</v>
      </c>
      <c r="K110" s="20" t="s">
        <v>37</v>
      </c>
      <c r="L110" s="20" t="s">
        <v>38</v>
      </c>
      <c r="M110" s="20">
        <v>0.27</v>
      </c>
      <c r="N110" s="20">
        <v>72.2</v>
      </c>
      <c r="O110" s="20">
        <v>509</v>
      </c>
      <c r="P110" s="20">
        <v>40.299999999999997</v>
      </c>
      <c r="Q110" s="8">
        <v>1369671</v>
      </c>
      <c r="R110" s="8">
        <v>5000000</v>
      </c>
      <c r="S110" s="8">
        <v>-609161</v>
      </c>
      <c r="T110" s="20">
        <v>426</v>
      </c>
      <c r="U110" s="20">
        <v>96</v>
      </c>
      <c r="V110" s="20"/>
      <c r="W110" s="8">
        <v>-402601</v>
      </c>
      <c r="X110" s="20" t="s">
        <v>928</v>
      </c>
      <c r="Y110" s="20" t="s">
        <v>929</v>
      </c>
      <c r="Z110" s="20" t="s">
        <v>930</v>
      </c>
      <c r="AA110" s="20"/>
      <c r="AB110" s="1"/>
      <c r="AC110" s="8">
        <v>69716.253899999996</v>
      </c>
      <c r="AD110" s="8">
        <v>41646.919540041068</v>
      </c>
      <c r="AE110" s="8">
        <v>41646.919540041068</v>
      </c>
      <c r="AF110" s="8">
        <f>VALUE(SUBSTITUTE(LEFT(Z110, FIND(" ", Z110) - 1), ",", ""))</f>
        <v>38752</v>
      </c>
      <c r="AG110" s="15">
        <f ca="1">(AF110/YEARFRAC(A110,TODAY())/P110)</f>
        <v>966.96008982907529</v>
      </c>
      <c r="AI110" s="8">
        <f>VALUE(SUBSTITUTE(LEFT(X110, FIND(" ", X110) - 1), ",", ""))</f>
        <v>280293</v>
      </c>
      <c r="AK110" s="20" t="str">
        <f>IF(AI110&gt;AC110, "YES","")</f>
        <v>YES</v>
      </c>
    </row>
    <row r="111" spans="1:37" x14ac:dyDescent="0.25">
      <c r="A111" s="5">
        <v>45688</v>
      </c>
      <c r="B111" s="20" t="s">
        <v>44</v>
      </c>
      <c r="C111" s="20">
        <v>40</v>
      </c>
      <c r="D111" s="20" t="s">
        <v>50</v>
      </c>
      <c r="E111" s="20" t="s">
        <v>33</v>
      </c>
      <c r="F111" s="20" t="s">
        <v>34</v>
      </c>
      <c r="G111" s="20" t="s">
        <v>58</v>
      </c>
      <c r="H111" s="20">
        <v>41</v>
      </c>
      <c r="I111" s="20" t="s">
        <v>284</v>
      </c>
      <c r="J111" s="20" t="s">
        <v>33</v>
      </c>
      <c r="K111" s="20" t="s">
        <v>37</v>
      </c>
      <c r="L111" s="20" t="s">
        <v>38</v>
      </c>
      <c r="M111" s="20">
        <v>0.81</v>
      </c>
      <c r="N111" s="20">
        <v>28.2</v>
      </c>
      <c r="O111" s="20">
        <v>195.9</v>
      </c>
      <c r="P111" s="20">
        <v>43.1</v>
      </c>
      <c r="Q111" s="8">
        <v>4026146</v>
      </c>
      <c r="R111" s="8">
        <v>5000000</v>
      </c>
      <c r="S111" s="8">
        <v>-694305</v>
      </c>
      <c r="T111" s="20">
        <v>147</v>
      </c>
      <c r="U111" s="20">
        <v>96</v>
      </c>
      <c r="V111" s="20"/>
      <c r="W111" s="8">
        <v>-434261</v>
      </c>
      <c r="X111" s="20" t="s">
        <v>960</v>
      </c>
      <c r="Y111" s="20" t="s">
        <v>961</v>
      </c>
      <c r="Z111" s="20" t="s">
        <v>962</v>
      </c>
      <c r="AA111" s="20"/>
      <c r="AB111" s="1"/>
      <c r="AC111" s="8">
        <v>78872.200140000001</v>
      </c>
      <c r="AD111" s="8">
        <v>43451.299816016457</v>
      </c>
      <c r="AE111" s="8">
        <v>43451.299816016457</v>
      </c>
      <c r="AF111" s="8">
        <f>VALUE(SUBSTITUTE(LEFT(Z111, FIND(" ", Z111) - 1), ",", ""))</f>
        <v>33300</v>
      </c>
      <c r="AG111" s="15">
        <f ca="1">(AF111/YEARFRAC(A111,TODAY())/P111)</f>
        <v>900.14191426576258</v>
      </c>
      <c r="AI111" s="8">
        <f>VALUE(SUBSTITUTE(LEFT(X111, FIND(" ", X111) - 1), ",", ""))</f>
        <v>274841</v>
      </c>
      <c r="AK111" s="20" t="str">
        <f>IF(AI111&gt;AC111, "YES","")</f>
        <v>YES</v>
      </c>
    </row>
    <row r="112" spans="1:37" x14ac:dyDescent="0.25">
      <c r="A112" s="5">
        <v>45707</v>
      </c>
      <c r="B112" s="1" t="s">
        <v>44</v>
      </c>
      <c r="C112" s="1">
        <v>40</v>
      </c>
      <c r="D112" s="1" t="s">
        <v>50</v>
      </c>
      <c r="E112" s="1" t="s">
        <v>33</v>
      </c>
      <c r="F112" s="1" t="s">
        <v>34</v>
      </c>
      <c r="G112" s="1" t="s">
        <v>58</v>
      </c>
      <c r="H112" s="1">
        <v>41</v>
      </c>
      <c r="I112" s="1" t="s">
        <v>284</v>
      </c>
      <c r="J112" s="1" t="s">
        <v>33</v>
      </c>
      <c r="K112" s="1" t="s">
        <v>37</v>
      </c>
      <c r="L112" s="1" t="s">
        <v>38</v>
      </c>
      <c r="M112" s="1">
        <v>0.82</v>
      </c>
      <c r="N112" s="1">
        <v>30.2</v>
      </c>
      <c r="O112" s="1">
        <v>176.4</v>
      </c>
      <c r="P112" s="1">
        <v>48.8</v>
      </c>
      <c r="Q112" s="8">
        <v>4090510</v>
      </c>
      <c r="R112" s="8">
        <v>5000000</v>
      </c>
      <c r="S112" s="8">
        <v>-695686</v>
      </c>
      <c r="T112" s="1">
        <v>140</v>
      </c>
      <c r="U112" s="1">
        <v>90</v>
      </c>
      <c r="V112" s="1"/>
      <c r="W112" s="8">
        <v>-442671</v>
      </c>
      <c r="X112" s="1" t="s">
        <v>558</v>
      </c>
      <c r="Y112" s="1" t="s">
        <v>559</v>
      </c>
      <c r="Z112" s="1" t="s">
        <v>560</v>
      </c>
      <c r="AA112" s="1"/>
      <c r="AB112" s="1"/>
      <c r="AC112" s="8">
        <v>72156.596399999995</v>
      </c>
      <c r="AD112" s="8">
        <v>47019.838466803543</v>
      </c>
      <c r="AE112" s="8">
        <v>47019.838466803543</v>
      </c>
      <c r="AF112" s="8">
        <f>VALUE(SUBSTITUTE(LEFT(Z112, FIND(" ", Z112) - 1), ",", ""))</f>
        <v>31752</v>
      </c>
      <c r="AG112" s="15">
        <f ca="1">(AF112/YEARFRAC(A112,TODAY())/P112)</f>
        <v>807.71057094403614</v>
      </c>
      <c r="AI112" s="8">
        <f>VALUE(SUBSTITUTE(LEFT(X112, FIND(" ", X112) - 1), ",", ""))</f>
        <v>273230</v>
      </c>
      <c r="AK112" s="20" t="str">
        <f>IF(AI112&gt;AC112, "YES","")</f>
        <v>YES</v>
      </c>
    </row>
    <row r="113" spans="1:37" x14ac:dyDescent="0.25">
      <c r="A113" s="5">
        <v>45386</v>
      </c>
      <c r="B113" s="1" t="s">
        <v>35</v>
      </c>
      <c r="C113" s="1">
        <v>40</v>
      </c>
      <c r="D113" s="1" t="s">
        <v>82</v>
      </c>
      <c r="E113" s="1" t="s">
        <v>33</v>
      </c>
      <c r="F113" s="1" t="s">
        <v>34</v>
      </c>
      <c r="G113" s="1" t="s">
        <v>58</v>
      </c>
      <c r="H113" s="1">
        <v>39</v>
      </c>
      <c r="I113" s="1" t="s">
        <v>284</v>
      </c>
      <c r="J113" s="1" t="s">
        <v>33</v>
      </c>
      <c r="K113" s="1" t="s">
        <v>37</v>
      </c>
      <c r="L113" s="1" t="s">
        <v>38</v>
      </c>
      <c r="M113" s="1">
        <v>0.18</v>
      </c>
      <c r="N113" s="1">
        <v>-19</v>
      </c>
      <c r="O113" s="1">
        <v>748.1</v>
      </c>
      <c r="P113" s="1">
        <v>34</v>
      </c>
      <c r="Q113" s="8">
        <v>904618</v>
      </c>
      <c r="R113" s="8">
        <v>5000000</v>
      </c>
      <c r="S113" s="8">
        <v>-632869</v>
      </c>
      <c r="T113" s="1">
        <v>621</v>
      </c>
      <c r="U113" s="1">
        <v>115</v>
      </c>
      <c r="V113" s="1"/>
      <c r="W113" s="8">
        <v>-441479</v>
      </c>
      <c r="X113" s="1" t="s">
        <v>1049</v>
      </c>
      <c r="Y113" s="1" t="s">
        <v>1050</v>
      </c>
      <c r="Z113" s="1" t="s">
        <v>1051</v>
      </c>
      <c r="AA113" s="1"/>
      <c r="AB113" s="1"/>
      <c r="AC113" s="8">
        <v>67674.472580000001</v>
      </c>
      <c r="AD113" s="8">
        <v>51383.256930321717</v>
      </c>
      <c r="AE113" s="8">
        <v>51383.256930321717</v>
      </c>
      <c r="AF113" s="8">
        <f>VALUE(SUBSTITUTE(LEFT(Z113, FIND(" ", Z113) - 1), ",", ""))</f>
        <v>57843</v>
      </c>
      <c r="AG113" s="15">
        <f ca="1">(AF113/YEARFRAC(A113,TODAY())/P113)</f>
        <v>1012.322800194458</v>
      </c>
      <c r="AI113" s="8">
        <f>VALUE(SUBSTITUTE(LEFT(X113, FIND(" ", X113) - 1), ",", ""))</f>
        <v>189573</v>
      </c>
      <c r="AK113" s="20" t="str">
        <f>IF(AI113&gt;AC113, "YES","")</f>
        <v>YES</v>
      </c>
    </row>
    <row r="114" spans="1:37" x14ac:dyDescent="0.25">
      <c r="A114" s="5">
        <v>45469</v>
      </c>
      <c r="B114" s="20" t="s">
        <v>44</v>
      </c>
      <c r="C114" s="20">
        <v>40</v>
      </c>
      <c r="D114" s="20" t="s">
        <v>45</v>
      </c>
      <c r="E114" s="20" t="s">
        <v>33</v>
      </c>
      <c r="F114" s="20" t="s">
        <v>34</v>
      </c>
      <c r="G114" s="20" t="s">
        <v>58</v>
      </c>
      <c r="H114" s="20">
        <v>39</v>
      </c>
      <c r="I114" s="20" t="s">
        <v>284</v>
      </c>
      <c r="J114" s="20" t="s">
        <v>33</v>
      </c>
      <c r="K114" s="20" t="s">
        <v>37</v>
      </c>
      <c r="L114" s="20" t="s">
        <v>38</v>
      </c>
      <c r="M114" s="20">
        <v>1.05</v>
      </c>
      <c r="N114" s="20">
        <v>-1.1000000000000001</v>
      </c>
      <c r="O114" s="20">
        <v>96.1</v>
      </c>
      <c r="P114" s="20">
        <v>80</v>
      </c>
      <c r="Q114" s="8">
        <v>5235254</v>
      </c>
      <c r="R114" s="8">
        <v>5000000</v>
      </c>
      <c r="S114" s="8">
        <v>-573708</v>
      </c>
      <c r="T114" s="20">
        <v>102</v>
      </c>
      <c r="U114" s="20">
        <v>108</v>
      </c>
      <c r="V114" s="20"/>
      <c r="W114" s="8">
        <v>-487367</v>
      </c>
      <c r="X114" s="20" t="s">
        <v>757</v>
      </c>
      <c r="Y114" s="20" t="s">
        <v>758</v>
      </c>
      <c r="Z114" s="20" t="s">
        <v>759</v>
      </c>
      <c r="AA114" s="20"/>
      <c r="AB114" s="1"/>
      <c r="AC114" s="8">
        <v>50310.790939999992</v>
      </c>
      <c r="AD114" s="8">
        <v>51418.288105133513</v>
      </c>
      <c r="AE114" s="25">
        <v>51418.288105133513</v>
      </c>
      <c r="AF114" s="8">
        <f>VALUE(SUBSTITUTE(LEFT(Z114, FIND(" ", Z114) - 1), ",", ""))</f>
        <v>27485</v>
      </c>
      <c r="AG114" s="15">
        <f ca="1">(AF114/YEARFRAC(A114,TODAY())/P114)</f>
        <v>236.4866156787763</v>
      </c>
      <c r="AI114" s="8">
        <f>VALUE(SUBSTITUTE(LEFT(X114, FIND(" ", X114) - 1), ",", ""))</f>
        <v>159098</v>
      </c>
      <c r="AK114" s="20" t="str">
        <f>IF(AI114&gt;AC114, "YES","")</f>
        <v>YES</v>
      </c>
    </row>
    <row r="115" spans="1:37" x14ac:dyDescent="0.25">
      <c r="A115" s="17">
        <v>45887</v>
      </c>
      <c r="B115" s="12" t="s">
        <v>58</v>
      </c>
      <c r="C115" s="12">
        <v>43</v>
      </c>
      <c r="D115" s="12" t="s">
        <v>43</v>
      </c>
      <c r="E115" s="12" t="s">
        <v>33</v>
      </c>
      <c r="F115" s="12" t="s">
        <v>34</v>
      </c>
      <c r="G115" s="12" t="s">
        <v>58</v>
      </c>
      <c r="H115" s="12">
        <v>43</v>
      </c>
      <c r="I115" s="12" t="s">
        <v>36</v>
      </c>
      <c r="J115" s="12" t="s">
        <v>33</v>
      </c>
      <c r="K115" s="12" t="s">
        <v>37</v>
      </c>
      <c r="L115" s="12" t="s">
        <v>38</v>
      </c>
      <c r="M115" s="12">
        <v>0.33</v>
      </c>
      <c r="N115" s="12">
        <v>126</v>
      </c>
      <c r="O115" s="12">
        <v>56.4</v>
      </c>
      <c r="P115" s="12">
        <v>42.7</v>
      </c>
      <c r="Q115" s="16">
        <v>11600000</v>
      </c>
      <c r="R115" s="16">
        <v>35000000</v>
      </c>
      <c r="S115" s="16">
        <v>-4559703</v>
      </c>
      <c r="T115" s="12">
        <v>306</v>
      </c>
      <c r="U115" s="12">
        <v>52</v>
      </c>
      <c r="V115" s="12"/>
      <c r="W115" s="16">
        <v>-3788648</v>
      </c>
      <c r="X115" s="12" t="s">
        <v>1224</v>
      </c>
      <c r="Y115" s="12" t="s">
        <v>1225</v>
      </c>
      <c r="Z115" s="12" t="s">
        <v>1226</v>
      </c>
      <c r="AA115" s="12"/>
      <c r="AB115" s="24"/>
      <c r="AC115" s="25">
        <v>65424</v>
      </c>
      <c r="AD115" s="25">
        <v>750558.79534565366</v>
      </c>
      <c r="AE115" s="26">
        <v>51773.63352890755</v>
      </c>
      <c r="AF115" s="26">
        <f>VALUE(SUBSTITUTE(LEFT(Z115, FIND(" ", Z115) - 1), ",", ""))</f>
        <v>-231</v>
      </c>
      <c r="AG115" s="27">
        <f ca="1">(AF115/YEARFRAC(A115,TODAY())/P115)</f>
        <v>-17.545414266725739</v>
      </c>
      <c r="AH115" s="24"/>
      <c r="AI115" s="25">
        <f>VALUE(SUBSTITUTE(LEFT(X115, FIND(" ", X115) - 1), ",", ""))</f>
        <v>15271</v>
      </c>
      <c r="AJ115" s="24"/>
      <c r="AK115" s="24" t="str">
        <f>IF(AI115&gt;AC115, "YES","")</f>
        <v/>
      </c>
    </row>
    <row r="116" spans="1:37" x14ac:dyDescent="0.25">
      <c r="A116" s="5">
        <v>45401</v>
      </c>
      <c r="B116" s="20" t="s">
        <v>35</v>
      </c>
      <c r="C116" s="20">
        <v>40</v>
      </c>
      <c r="D116" s="20" t="s">
        <v>43</v>
      </c>
      <c r="E116" s="20" t="s">
        <v>33</v>
      </c>
      <c r="F116" s="20" t="s">
        <v>34</v>
      </c>
      <c r="G116" s="20" t="s">
        <v>58</v>
      </c>
      <c r="H116" s="20">
        <v>39</v>
      </c>
      <c r="I116" s="20" t="s">
        <v>284</v>
      </c>
      <c r="J116" s="20" t="s">
        <v>33</v>
      </c>
      <c r="K116" s="20" t="s">
        <v>37</v>
      </c>
      <c r="L116" s="20" t="s">
        <v>38</v>
      </c>
      <c r="M116" s="20">
        <v>0.8</v>
      </c>
      <c r="N116" s="20">
        <v>168.3</v>
      </c>
      <c r="O116" s="20">
        <v>146.9</v>
      </c>
      <c r="P116" s="20">
        <v>27.2</v>
      </c>
      <c r="Q116" s="8">
        <v>3983180</v>
      </c>
      <c r="R116" s="8">
        <v>5000000</v>
      </c>
      <c r="S116" s="8">
        <v>-249504</v>
      </c>
      <c r="T116" s="20">
        <v>341</v>
      </c>
      <c r="U116" s="20">
        <v>137</v>
      </c>
      <c r="V116" s="20"/>
      <c r="W116" s="8">
        <v>-116706</v>
      </c>
      <c r="X116" s="20" t="s">
        <v>699</v>
      </c>
      <c r="Y116" s="20" t="s">
        <v>700</v>
      </c>
      <c r="Z116" s="20" t="s">
        <v>701</v>
      </c>
      <c r="AA116" s="20" t="s">
        <v>702</v>
      </c>
      <c r="AB116" s="1"/>
      <c r="AC116" s="8">
        <v>58512.914199999999</v>
      </c>
      <c r="AD116" s="8">
        <v>383107.19569609861</v>
      </c>
      <c r="AE116" s="8">
        <v>52873.048563839337</v>
      </c>
      <c r="AF116" s="8">
        <f>VALUE(SUBSTITUTE(LEFT(Z116, FIND(" ", Z116) - 1), ",", ""))</f>
        <v>170331</v>
      </c>
      <c r="AG116" s="15">
        <f ca="1">(AF116/YEARFRAC(A116,TODAY())/P116)</f>
        <v>3820.9845463609172</v>
      </c>
      <c r="AI116" s="8">
        <f>VALUE(SUBSTITUTE(LEFT(X116, FIND(" ", X116) - 1), ",", ""))</f>
        <v>182896</v>
      </c>
      <c r="AK116" s="20" t="str">
        <f>IF(AI116&gt;AC116, "YES","")</f>
        <v>YES</v>
      </c>
    </row>
    <row r="117" spans="1:37" x14ac:dyDescent="0.25">
      <c r="A117" s="5">
        <v>45637</v>
      </c>
      <c r="B117" s="1" t="s">
        <v>58</v>
      </c>
      <c r="C117" s="1">
        <v>41</v>
      </c>
      <c r="D117" s="1" t="s">
        <v>36</v>
      </c>
      <c r="E117" s="1" t="s">
        <v>33</v>
      </c>
      <c r="F117" s="1" t="s">
        <v>37</v>
      </c>
      <c r="G117" s="1" t="s">
        <v>44</v>
      </c>
      <c r="H117" s="1">
        <v>40</v>
      </c>
      <c r="I117" s="1" t="s">
        <v>50</v>
      </c>
      <c r="J117" s="1" t="s">
        <v>33</v>
      </c>
      <c r="K117" s="1" t="s">
        <v>34</v>
      </c>
      <c r="L117" s="1" t="s">
        <v>38</v>
      </c>
      <c r="M117" s="1">
        <v>3.05</v>
      </c>
      <c r="N117" s="1">
        <v>20.8</v>
      </c>
      <c r="O117" s="1">
        <v>34.9</v>
      </c>
      <c r="P117" s="1">
        <v>101.6</v>
      </c>
      <c r="Q117" s="8">
        <v>15000000</v>
      </c>
      <c r="R117" s="8">
        <v>4912631</v>
      </c>
      <c r="S117" s="8">
        <v>-2329205</v>
      </c>
      <c r="T117" s="1">
        <v>40</v>
      </c>
      <c r="U117" s="1">
        <v>151</v>
      </c>
      <c r="V117" s="1"/>
      <c r="W117" s="8">
        <v>-2057422</v>
      </c>
      <c r="X117" s="1" t="s">
        <v>921</v>
      </c>
      <c r="Y117" s="1" t="s">
        <v>922</v>
      </c>
      <c r="Z117" s="1" t="s">
        <v>923</v>
      </c>
      <c r="AA117" s="1" t="s">
        <v>42</v>
      </c>
      <c r="AB117" s="1"/>
      <c r="AC117" s="8">
        <v>52350</v>
      </c>
      <c r="AD117" s="8">
        <v>57072.33485831623</v>
      </c>
      <c r="AE117" s="8">
        <v>57072.33485831623</v>
      </c>
      <c r="AF117" s="8">
        <f>VALUE(SUBSTITUTE(LEFT(Z117, FIND(" ", Z117) - 1), ",", ""))</f>
        <v>205790</v>
      </c>
      <c r="AG117" s="15">
        <f ca="1">(AF117/YEARFRAC(A117,TODAY())/P117)</f>
        <v>2036.8077244534379</v>
      </c>
      <c r="AI117" s="8">
        <f>VALUE(SUBSTITUTE(LEFT(X117, FIND(" ", X117) - 1), ",", ""))</f>
        <v>213223</v>
      </c>
      <c r="AK117" s="20" t="str">
        <f>IF(AI117&gt;AC117, "YES","")</f>
        <v>YES</v>
      </c>
    </row>
    <row r="118" spans="1:37" x14ac:dyDescent="0.25">
      <c r="A118" s="5">
        <v>45617</v>
      </c>
      <c r="B118" s="20" t="s">
        <v>58</v>
      </c>
      <c r="C118" s="20">
        <v>41</v>
      </c>
      <c r="D118" s="20" t="s">
        <v>36</v>
      </c>
      <c r="E118" s="20" t="s">
        <v>33</v>
      </c>
      <c r="F118" s="20" t="s">
        <v>37</v>
      </c>
      <c r="G118" s="20" t="s">
        <v>44</v>
      </c>
      <c r="H118" s="20">
        <v>40</v>
      </c>
      <c r="I118" s="20" t="s">
        <v>50</v>
      </c>
      <c r="J118" s="20" t="s">
        <v>33</v>
      </c>
      <c r="K118" s="20" t="s">
        <v>34</v>
      </c>
      <c r="L118" s="20" t="s">
        <v>38</v>
      </c>
      <c r="M118" s="20">
        <v>3.17</v>
      </c>
      <c r="N118" s="20">
        <v>20.9</v>
      </c>
      <c r="O118" s="20">
        <v>51.1</v>
      </c>
      <c r="P118" s="20">
        <v>69.400000000000006</v>
      </c>
      <c r="Q118" s="8">
        <v>15000000</v>
      </c>
      <c r="R118" s="8">
        <v>4734065</v>
      </c>
      <c r="S118" s="8">
        <v>-2344765</v>
      </c>
      <c r="T118" s="20">
        <v>42</v>
      </c>
      <c r="U118" s="20">
        <v>165</v>
      </c>
      <c r="V118" s="20"/>
      <c r="W118" s="8">
        <v>-2072536</v>
      </c>
      <c r="X118" s="20" t="s">
        <v>543</v>
      </c>
      <c r="Y118" s="20" t="s">
        <v>544</v>
      </c>
      <c r="Z118" s="20" t="s">
        <v>545</v>
      </c>
      <c r="AA118" s="20" t="s">
        <v>42</v>
      </c>
      <c r="AB118" s="1"/>
      <c r="AC118" s="8">
        <v>76650</v>
      </c>
      <c r="AD118" s="8">
        <v>61648.153388090403</v>
      </c>
      <c r="AE118" s="8">
        <v>61648.153388090403</v>
      </c>
      <c r="AF118" s="8">
        <f>VALUE(SUBSTITUTE(LEFT(Z118, FIND(" ", Z118) - 1), ",", ""))</f>
        <v>226337</v>
      </c>
      <c r="AG118" s="15">
        <f ca="1">(AF118/YEARFRAC(A118,TODAY())/P118)</f>
        <v>3106.0381501303686</v>
      </c>
      <c r="AI118" s="8">
        <f>VALUE(SUBSTITUTE(LEFT(X118, FIND(" ", X118) - 1), ",", ""))</f>
        <v>233613</v>
      </c>
      <c r="AK118" s="20" t="str">
        <f>IF(AI118&gt;AC118, "YES","")</f>
        <v>YES</v>
      </c>
    </row>
    <row r="119" spans="1:37" x14ac:dyDescent="0.25">
      <c r="A119" s="17">
        <v>45819</v>
      </c>
      <c r="B119" s="12" t="s">
        <v>58</v>
      </c>
      <c r="C119" s="12">
        <v>43</v>
      </c>
      <c r="D119" s="12" t="s">
        <v>43</v>
      </c>
      <c r="E119" s="12" t="s">
        <v>33</v>
      </c>
      <c r="F119" s="12" t="s">
        <v>34</v>
      </c>
      <c r="G119" s="12" t="s">
        <v>58</v>
      </c>
      <c r="H119" s="12">
        <v>43</v>
      </c>
      <c r="I119" s="12" t="s">
        <v>36</v>
      </c>
      <c r="J119" s="12" t="s">
        <v>33</v>
      </c>
      <c r="K119" s="12" t="s">
        <v>37</v>
      </c>
      <c r="L119" s="12" t="s">
        <v>38</v>
      </c>
      <c r="M119" s="12">
        <v>0.32</v>
      </c>
      <c r="N119" s="12">
        <v>126.4</v>
      </c>
      <c r="O119" s="12">
        <v>90.2</v>
      </c>
      <c r="P119" s="12">
        <v>30.2</v>
      </c>
      <c r="Q119" s="16">
        <v>11400000</v>
      </c>
      <c r="R119" s="16">
        <v>35000000</v>
      </c>
      <c r="S119" s="16">
        <v>-4819379</v>
      </c>
      <c r="T119" s="12">
        <v>323</v>
      </c>
      <c r="U119" s="12">
        <v>57</v>
      </c>
      <c r="V119" s="12"/>
      <c r="W119" s="16">
        <v>-4127075</v>
      </c>
      <c r="X119" s="12" t="s">
        <v>1212</v>
      </c>
      <c r="Y119" s="12" t="s">
        <v>1213</v>
      </c>
      <c r="Z119" s="12" t="s">
        <v>1214</v>
      </c>
      <c r="AA119" s="12"/>
      <c r="AB119" s="1"/>
      <c r="AC119" s="8">
        <v>102828</v>
      </c>
      <c r="AD119" s="8">
        <v>763570.59548254614</v>
      </c>
      <c r="AE119" s="8">
        <v>64241.186148021246</v>
      </c>
      <c r="AF119" s="8">
        <f>VALUE(SUBSTITUTE(LEFT(Z119, FIND(" ", Z119) - 1), ",", ""))</f>
        <v>34583</v>
      </c>
      <c r="AG119" s="15">
        <f ca="1">(AF119/YEARFRAC(A119,TODAY())/P119)</f>
        <v>2315.9982141528385</v>
      </c>
      <c r="AI119" s="8">
        <f>VALUE(SUBSTITUTE(LEFT(X119, FIND(" ", X119) - 1), ",", ""))</f>
        <v>52355</v>
      </c>
      <c r="AK119" s="20" t="str">
        <f>IF(AI119&gt;AC119, "YES","")</f>
        <v/>
      </c>
    </row>
    <row r="120" spans="1:37" x14ac:dyDescent="0.25">
      <c r="A120" s="5">
        <v>44980</v>
      </c>
      <c r="B120" s="20" t="s">
        <v>58</v>
      </c>
      <c r="C120" s="20">
        <v>38</v>
      </c>
      <c r="D120" s="20" t="s">
        <v>43</v>
      </c>
      <c r="E120" s="20" t="s">
        <v>33</v>
      </c>
      <c r="F120" s="20" t="s">
        <v>34</v>
      </c>
      <c r="G120" s="20" t="s">
        <v>58</v>
      </c>
      <c r="H120" s="20">
        <v>39</v>
      </c>
      <c r="I120" s="20" t="s">
        <v>284</v>
      </c>
      <c r="J120" s="20" t="s">
        <v>33</v>
      </c>
      <c r="K120" s="20" t="s">
        <v>37</v>
      </c>
      <c r="L120" s="20" t="s">
        <v>38</v>
      </c>
      <c r="M120" s="20">
        <v>1.47</v>
      </c>
      <c r="N120" s="20">
        <v>192.2</v>
      </c>
      <c r="O120" s="20">
        <v>77.400000000000006</v>
      </c>
      <c r="P120" s="20">
        <v>43.9</v>
      </c>
      <c r="Q120" s="8">
        <v>7326212</v>
      </c>
      <c r="R120" s="8">
        <v>5000000</v>
      </c>
      <c r="S120" s="8">
        <v>-124992</v>
      </c>
      <c r="T120" s="20">
        <v>412</v>
      </c>
      <c r="U120" s="20">
        <v>322</v>
      </c>
      <c r="V120" s="20"/>
      <c r="W120" s="8">
        <v>449820</v>
      </c>
      <c r="X120" s="20" t="s">
        <v>285</v>
      </c>
      <c r="Y120" s="20" t="s">
        <v>286</v>
      </c>
      <c r="Z120" s="20" t="s">
        <v>287</v>
      </c>
      <c r="AA120" s="20" t="s">
        <v>288</v>
      </c>
      <c r="AB120" s="1"/>
      <c r="AC120" s="8">
        <v>56704.880879999997</v>
      </c>
      <c r="AD120" s="8">
        <v>527809.4907137577</v>
      </c>
      <c r="AE120" s="8">
        <v>87326.522326456325</v>
      </c>
      <c r="AF120" s="8">
        <f>VALUE(SUBSTITUTE(LEFT(Z120, FIND(" ", Z120) - 1), ",", ""))</f>
        <v>319468</v>
      </c>
      <c r="AG120" s="15">
        <f ca="1">(AF120/YEARFRAC(A120,TODAY())/P120)</f>
        <v>2604.1581943419214</v>
      </c>
      <c r="AI120" s="8">
        <f>VALUE(SUBSTITUTE(LEFT(X120, FIND(" ", X120) - 1), ",", ""))</f>
        <v>329535</v>
      </c>
      <c r="AK120" s="20" t="str">
        <f>IF(AI120&gt;AC120, "YES","")</f>
        <v>YES</v>
      </c>
    </row>
    <row r="121" spans="1:37" x14ac:dyDescent="0.25">
      <c r="A121" s="5">
        <v>45496</v>
      </c>
      <c r="B121" s="20" t="s">
        <v>31</v>
      </c>
      <c r="C121" s="20">
        <v>40</v>
      </c>
      <c r="D121" s="20" t="s">
        <v>43</v>
      </c>
      <c r="E121" s="20" t="s">
        <v>33</v>
      </c>
      <c r="F121" s="20" t="s">
        <v>37</v>
      </c>
      <c r="G121" s="20" t="s">
        <v>35</v>
      </c>
      <c r="H121" s="20">
        <v>39</v>
      </c>
      <c r="I121" s="20" t="s">
        <v>43</v>
      </c>
      <c r="J121" s="20" t="s">
        <v>33</v>
      </c>
      <c r="K121" s="20" t="s">
        <v>34</v>
      </c>
      <c r="L121" s="20" t="s">
        <v>38</v>
      </c>
      <c r="M121" s="20">
        <v>5.96</v>
      </c>
      <c r="N121" s="20">
        <v>2.2999999999999998</v>
      </c>
      <c r="O121" s="20">
        <v>15.9</v>
      </c>
      <c r="P121" s="20">
        <v>49.3</v>
      </c>
      <c r="Q121" s="8">
        <v>140000000</v>
      </c>
      <c r="R121" s="8">
        <v>23504534</v>
      </c>
      <c r="S121" s="8">
        <v>-400109</v>
      </c>
      <c r="T121" s="20">
        <v>38</v>
      </c>
      <c r="U121" s="20">
        <v>236</v>
      </c>
      <c r="V121" s="20"/>
      <c r="W121" s="8">
        <v>-86775</v>
      </c>
      <c r="X121" s="20" t="s">
        <v>787</v>
      </c>
      <c r="Y121" s="20" t="s">
        <v>788</v>
      </c>
      <c r="Z121" s="20" t="s">
        <v>789</v>
      </c>
      <c r="AA121" s="20" t="s">
        <v>42</v>
      </c>
      <c r="AB121" s="1"/>
      <c r="AC121" s="8">
        <v>222600</v>
      </c>
      <c r="AD121" s="8">
        <v>88776.452914989786</v>
      </c>
      <c r="AE121" s="8">
        <v>98018.317561260192</v>
      </c>
      <c r="AF121" s="8">
        <f>VALUE(SUBSTITUTE(LEFT(Z121, FIND(" ", Z121) - 1), ",", ""))</f>
        <v>356030</v>
      </c>
      <c r="AG121" s="15">
        <f ca="1">(AF121/YEARFRAC(A121,TODAY())/P121)</f>
        <v>5241.5592488385792</v>
      </c>
      <c r="AI121" s="8">
        <f>VALUE(SUBSTITUTE(LEFT(X121, FIND(" ", X121) - 1), ",", ""))</f>
        <v>571296</v>
      </c>
      <c r="AK121" s="20" t="str">
        <f>IF(AI121&gt;AC121, "YES","")</f>
        <v>YES</v>
      </c>
    </row>
    <row r="122" spans="1:37" x14ac:dyDescent="0.25">
      <c r="A122" s="5">
        <v>45637</v>
      </c>
      <c r="B122" s="1" t="s">
        <v>58</v>
      </c>
      <c r="C122" s="1">
        <v>41</v>
      </c>
      <c r="D122" s="1" t="s">
        <v>68</v>
      </c>
      <c r="E122" s="1" t="s">
        <v>33</v>
      </c>
      <c r="F122" s="1" t="s">
        <v>37</v>
      </c>
      <c r="G122" s="1" t="s">
        <v>44</v>
      </c>
      <c r="H122" s="1">
        <v>40</v>
      </c>
      <c r="I122" s="1" t="s">
        <v>50</v>
      </c>
      <c r="J122" s="1" t="s">
        <v>33</v>
      </c>
      <c r="K122" s="1" t="s">
        <v>34</v>
      </c>
      <c r="L122" s="1" t="s">
        <v>38</v>
      </c>
      <c r="M122" s="1">
        <v>0.41</v>
      </c>
      <c r="N122" s="1">
        <v>186.5</v>
      </c>
      <c r="O122" s="1">
        <v>253.5</v>
      </c>
      <c r="P122" s="1">
        <v>60.4</v>
      </c>
      <c r="Q122" s="8">
        <v>2038051</v>
      </c>
      <c r="R122" s="8">
        <v>5000000</v>
      </c>
      <c r="S122" s="8">
        <v>-287646</v>
      </c>
      <c r="T122" s="1">
        <v>243</v>
      </c>
      <c r="U122" s="1">
        <v>151</v>
      </c>
      <c r="V122" s="1"/>
      <c r="W122" s="8">
        <v>-11030</v>
      </c>
      <c r="X122" s="1" t="s">
        <v>924</v>
      </c>
      <c r="Y122" s="1" t="s">
        <v>925</v>
      </c>
      <c r="Z122" s="1" t="s">
        <v>926</v>
      </c>
      <c r="AA122" s="1" t="s">
        <v>927</v>
      </c>
      <c r="AB122" s="1"/>
      <c r="AC122" s="8">
        <v>51664.592850000001</v>
      </c>
      <c r="AD122" s="8">
        <v>104541.4927556468</v>
      </c>
      <c r="AE122" s="8">
        <v>104541.4927556468</v>
      </c>
      <c r="AF122" s="8">
        <f>VALUE(SUBSTITUTE(LEFT(Z122, FIND(" ", Z122) - 1), ",", ""))</f>
        <v>76611</v>
      </c>
      <c r="AG122" s="15">
        <f ca="1">(AF122/YEARFRAC(A122,TODAY())/P122)</f>
        <v>1275.4800399570831</v>
      </c>
      <c r="AI122" s="8">
        <f>VALUE(SUBSTITUTE(LEFT(X122, FIND(" ", X122) - 1), ",", ""))</f>
        <v>116350</v>
      </c>
      <c r="AK122" s="20" t="str">
        <f>IF(AI122&gt;AC122, "YES","")</f>
        <v>YES</v>
      </c>
    </row>
    <row r="123" spans="1:37" x14ac:dyDescent="0.25">
      <c r="A123" s="17">
        <v>45667</v>
      </c>
      <c r="B123" s="12" t="s">
        <v>44</v>
      </c>
      <c r="C123" s="12">
        <v>42</v>
      </c>
      <c r="D123" s="12" t="s">
        <v>50</v>
      </c>
      <c r="E123" s="12" t="s">
        <v>33</v>
      </c>
      <c r="F123" s="12" t="s">
        <v>34</v>
      </c>
      <c r="G123" s="12" t="s">
        <v>58</v>
      </c>
      <c r="H123" s="12">
        <v>41</v>
      </c>
      <c r="I123" s="12" t="s">
        <v>36</v>
      </c>
      <c r="J123" s="12" t="s">
        <v>33</v>
      </c>
      <c r="K123" s="12" t="s">
        <v>37</v>
      </c>
      <c r="L123" s="12" t="s">
        <v>38</v>
      </c>
      <c r="M123" s="12">
        <v>0.19</v>
      </c>
      <c r="N123" s="12">
        <v>38.200000000000003</v>
      </c>
      <c r="O123" s="12">
        <v>204.7</v>
      </c>
      <c r="P123" s="12">
        <v>164.1</v>
      </c>
      <c r="Q123" s="16">
        <v>2900000</v>
      </c>
      <c r="R123" s="16">
        <v>15000000</v>
      </c>
      <c r="S123" s="16">
        <v>-2382429</v>
      </c>
      <c r="T123" s="12">
        <v>215</v>
      </c>
      <c r="U123" s="12">
        <v>34</v>
      </c>
      <c r="V123" s="12"/>
      <c r="W123" s="16">
        <v>-2040486</v>
      </c>
      <c r="X123" s="12" t="s">
        <v>1096</v>
      </c>
      <c r="Y123" s="12" t="s">
        <v>1097</v>
      </c>
      <c r="Z123" s="12" t="s">
        <v>1098</v>
      </c>
      <c r="AA123" s="12" t="s">
        <v>42</v>
      </c>
      <c r="AB123" s="1"/>
      <c r="AC123" s="8">
        <v>59362.999999999993</v>
      </c>
      <c r="AD123" s="8">
        <v>107054.75701574259</v>
      </c>
      <c r="AE123" s="8">
        <v>107054.75701574259</v>
      </c>
      <c r="AF123" s="8">
        <f>VALUE(SUBSTITUTE(LEFT(Z123, FIND(" ", Z123) - 1), ",", ""))</f>
        <v>115652</v>
      </c>
      <c r="AG123" s="15">
        <f ca="1">(AF123/YEARFRAC(A123,TODAY())/P123)</f>
        <v>771.17185199179835</v>
      </c>
      <c r="AI123" s="8">
        <f>VALUE(SUBSTITUTE(LEFT(X123, FIND(" ", X123) - 1), ",", ""))</f>
        <v>305205</v>
      </c>
      <c r="AK123" s="20" t="str">
        <f>IF(AI123&gt;AC123, "YES","")</f>
        <v>YES</v>
      </c>
    </row>
    <row r="124" spans="1:37" x14ac:dyDescent="0.25">
      <c r="A124" s="5">
        <v>45468</v>
      </c>
      <c r="B124" s="1" t="s">
        <v>35</v>
      </c>
      <c r="C124" s="1">
        <v>40</v>
      </c>
      <c r="D124" s="1" t="s">
        <v>43</v>
      </c>
      <c r="E124" s="1" t="s">
        <v>33</v>
      </c>
      <c r="F124" s="1" t="s">
        <v>34</v>
      </c>
      <c r="G124" s="1" t="s">
        <v>44</v>
      </c>
      <c r="H124" s="1">
        <v>40</v>
      </c>
      <c r="I124" s="1" t="s">
        <v>43</v>
      </c>
      <c r="J124" s="1" t="s">
        <v>33</v>
      </c>
      <c r="K124" s="1" t="s">
        <v>37</v>
      </c>
      <c r="L124" s="1" t="s">
        <v>38</v>
      </c>
      <c r="M124" s="1">
        <v>0.18</v>
      </c>
      <c r="N124" s="1">
        <v>9.6</v>
      </c>
      <c r="O124" s="1">
        <v>55.1</v>
      </c>
      <c r="P124" s="1">
        <v>366.9</v>
      </c>
      <c r="Q124" s="8">
        <v>37885909</v>
      </c>
      <c r="R124" s="8">
        <v>215000000</v>
      </c>
      <c r="S124" s="8">
        <v>-1268299</v>
      </c>
      <c r="T124" s="1">
        <v>332</v>
      </c>
      <c r="U124" s="1">
        <v>56</v>
      </c>
      <c r="V124" s="1"/>
      <c r="W124" s="8">
        <v>-294692</v>
      </c>
      <c r="X124" s="1" t="s">
        <v>434</v>
      </c>
      <c r="Y124" s="1" t="s">
        <v>435</v>
      </c>
      <c r="Z124" s="1" t="s">
        <v>436</v>
      </c>
      <c r="AA124" s="1"/>
      <c r="AB124" s="1"/>
      <c r="AC124" s="8">
        <v>208751.35858999999</v>
      </c>
      <c r="AD124" s="8">
        <v>241473.40466310829</v>
      </c>
      <c r="AE124" s="25">
        <v>110703.73961992891</v>
      </c>
      <c r="AF124" s="8">
        <f>VALUE(SUBSTITUTE(LEFT(Z124, FIND(" ", Z124) - 1), ",", ""))</f>
        <v>28411</v>
      </c>
      <c r="AG124" s="15">
        <f ca="1">(AF124/YEARFRAC(A124,TODAY())/P124)</f>
        <v>53.199802762572325</v>
      </c>
      <c r="AI124" s="8">
        <f>VALUE(SUBSTITUTE(LEFT(X124, FIND(" ", X124) - 1), ",", ""))</f>
        <v>1304064</v>
      </c>
      <c r="AK124" s="20" t="str">
        <f>IF(AI124&gt;AC124, "YES","")</f>
        <v>YES</v>
      </c>
    </row>
    <row r="125" spans="1:37" x14ac:dyDescent="0.25">
      <c r="A125" s="5">
        <v>45561</v>
      </c>
      <c r="B125" s="20" t="s">
        <v>58</v>
      </c>
      <c r="C125" s="20">
        <v>41</v>
      </c>
      <c r="D125" s="20" t="s">
        <v>284</v>
      </c>
      <c r="E125" s="20" t="s">
        <v>33</v>
      </c>
      <c r="F125" s="20" t="s">
        <v>37</v>
      </c>
      <c r="G125" s="20" t="s">
        <v>58</v>
      </c>
      <c r="H125" s="20">
        <v>40</v>
      </c>
      <c r="I125" s="20" t="s">
        <v>43</v>
      </c>
      <c r="J125" s="20" t="s">
        <v>33</v>
      </c>
      <c r="K125" s="20" t="s">
        <v>34</v>
      </c>
      <c r="L125" s="20" t="s">
        <v>38</v>
      </c>
      <c r="M125" s="20">
        <v>0.77</v>
      </c>
      <c r="N125" s="20">
        <v>283.8</v>
      </c>
      <c r="O125" s="20">
        <v>202.4</v>
      </c>
      <c r="P125" s="20">
        <v>28.8</v>
      </c>
      <c r="Q125" s="8">
        <v>5000000</v>
      </c>
      <c r="R125" s="8">
        <v>6472470</v>
      </c>
      <c r="S125" s="8">
        <v>-267736</v>
      </c>
      <c r="T125" s="20">
        <v>133</v>
      </c>
      <c r="U125" s="20">
        <v>314</v>
      </c>
      <c r="V125" s="20"/>
      <c r="W125" s="8">
        <v>-177137</v>
      </c>
      <c r="X125" s="20" t="s">
        <v>871</v>
      </c>
      <c r="Y125" s="20" t="s">
        <v>872</v>
      </c>
      <c r="Z125" s="20" t="s">
        <v>873</v>
      </c>
      <c r="AA125" s="20" t="s">
        <v>874</v>
      </c>
      <c r="AB125" s="1"/>
      <c r="AC125" s="8">
        <v>101200</v>
      </c>
      <c r="AD125" s="8">
        <v>476936.52444626961</v>
      </c>
      <c r="AE125" s="8">
        <v>112202.6984741065</v>
      </c>
      <c r="AF125" s="8">
        <f>VALUE(SUBSTITUTE(LEFT(Z125, FIND(" ", Z125) - 1), ",", ""))</f>
        <v>230458</v>
      </c>
      <c r="AG125" s="15">
        <f ca="1">(AF125/YEARFRAC(A125,TODAY())/P125)</f>
        <v>6652.944572748268</v>
      </c>
      <c r="AI125" s="8">
        <f>VALUE(SUBSTITUTE(LEFT(X125, FIND(" ", X125) - 1), ",", ""))</f>
        <v>232433</v>
      </c>
      <c r="AK125" s="20" t="str">
        <f>IF(AI125&gt;AC125, "YES","")</f>
        <v>YES</v>
      </c>
    </row>
    <row r="126" spans="1:37" x14ac:dyDescent="0.25">
      <c r="A126" s="5">
        <v>45617</v>
      </c>
      <c r="B126" s="1" t="s">
        <v>58</v>
      </c>
      <c r="C126" s="1">
        <v>41</v>
      </c>
      <c r="D126" s="1" t="s">
        <v>284</v>
      </c>
      <c r="E126" s="1" t="s">
        <v>33</v>
      </c>
      <c r="F126" s="1" t="s">
        <v>37</v>
      </c>
      <c r="G126" s="1" t="s">
        <v>44</v>
      </c>
      <c r="H126" s="1">
        <v>40</v>
      </c>
      <c r="I126" s="1" t="s">
        <v>45</v>
      </c>
      <c r="J126" s="1" t="s">
        <v>33</v>
      </c>
      <c r="K126" s="1" t="s">
        <v>34</v>
      </c>
      <c r="L126" s="1" t="s">
        <v>38</v>
      </c>
      <c r="M126" s="1">
        <v>0.47</v>
      </c>
      <c r="N126" s="1">
        <v>89.4</v>
      </c>
      <c r="O126" s="1">
        <v>116.7</v>
      </c>
      <c r="P126" s="1">
        <v>72</v>
      </c>
      <c r="Q126" s="8">
        <v>4720776</v>
      </c>
      <c r="R126" s="8">
        <v>10000000</v>
      </c>
      <c r="S126" s="8">
        <v>-539628</v>
      </c>
      <c r="T126" s="1">
        <v>105</v>
      </c>
      <c r="U126" s="1">
        <v>78</v>
      </c>
      <c r="V126" s="1"/>
      <c r="W126" s="8">
        <v>-420448</v>
      </c>
      <c r="X126" s="1" t="s">
        <v>539</v>
      </c>
      <c r="Y126" s="1" t="s">
        <v>540</v>
      </c>
      <c r="Z126" s="1" t="s">
        <v>541</v>
      </c>
      <c r="AA126" s="1" t="s">
        <v>542</v>
      </c>
      <c r="AB126" s="1"/>
      <c r="AC126" s="8">
        <v>55091.45592</v>
      </c>
      <c r="AD126" s="8">
        <v>115984.8308829569</v>
      </c>
      <c r="AE126" s="8">
        <v>115984.8308829569</v>
      </c>
      <c r="AF126" s="8">
        <f>VALUE(SUBSTITUTE(LEFT(Z126, FIND(" ", Z126) - 1), ",", ""))</f>
        <v>93930</v>
      </c>
      <c r="AG126" s="15">
        <f ca="1">(AF126/YEARFRAC(A126,TODAY())/P126)</f>
        <v>1242.4603174603174</v>
      </c>
      <c r="AI126" s="8">
        <f>VALUE(SUBSTITUTE(LEFT(X126, FIND(" ", X126) - 1), ",", ""))</f>
        <v>107012</v>
      </c>
      <c r="AK126" s="20" t="str">
        <f>IF(AI126&gt;AC126, "YES","")</f>
        <v>YES</v>
      </c>
    </row>
    <row r="127" spans="1:37" x14ac:dyDescent="0.25">
      <c r="A127" s="17">
        <v>45799</v>
      </c>
      <c r="B127" s="12" t="s">
        <v>31</v>
      </c>
      <c r="C127" s="12">
        <v>43</v>
      </c>
      <c r="D127" s="12" t="s">
        <v>142</v>
      </c>
      <c r="E127" s="12" t="s">
        <v>33</v>
      </c>
      <c r="F127" s="12" t="s">
        <v>34</v>
      </c>
      <c r="G127" s="12" t="s">
        <v>35</v>
      </c>
      <c r="H127" s="12">
        <v>42</v>
      </c>
      <c r="I127" s="12" t="s">
        <v>36</v>
      </c>
      <c r="J127" s="12" t="s">
        <v>33</v>
      </c>
      <c r="K127" s="12" t="s">
        <v>37</v>
      </c>
      <c r="L127" s="12" t="s">
        <v>38</v>
      </c>
      <c r="M127" s="12">
        <v>1.43</v>
      </c>
      <c r="N127" s="12">
        <v>2.7</v>
      </c>
      <c r="O127" s="12">
        <v>22.8</v>
      </c>
      <c r="P127" s="12">
        <v>356.3</v>
      </c>
      <c r="Q127" s="16">
        <v>25000000</v>
      </c>
      <c r="R127" s="16">
        <v>17500000</v>
      </c>
      <c r="S127" s="16">
        <v>-2876622</v>
      </c>
      <c r="T127" s="12">
        <v>68</v>
      </c>
      <c r="U127" s="12">
        <v>82</v>
      </c>
      <c r="V127" s="12"/>
      <c r="W127" s="16">
        <v>-2551769</v>
      </c>
      <c r="X127" s="12" t="s">
        <v>1152</v>
      </c>
      <c r="Y127" s="12" t="s">
        <v>1153</v>
      </c>
      <c r="Z127" s="12" t="s">
        <v>1154</v>
      </c>
      <c r="AA127" s="12" t="s">
        <v>1155</v>
      </c>
      <c r="AB127" s="1"/>
      <c r="AC127" s="8">
        <v>57000</v>
      </c>
      <c r="AD127" s="8">
        <v>121381.2457221082</v>
      </c>
      <c r="AE127" s="8">
        <v>121381.2457221082</v>
      </c>
      <c r="AF127" s="8">
        <f>VALUE(SUBSTITUTE(LEFT(Z127, FIND(" ", Z127) - 1), ",", ""))</f>
        <v>63052</v>
      </c>
      <c r="AG127" s="15">
        <f ca="1">(AF127/YEARFRAC(A127,TODAY())/P127)</f>
        <v>323.38458864442924</v>
      </c>
      <c r="AI127" s="8">
        <f>VALUE(SUBSTITUTE(LEFT(X127, FIND(" ", X127) - 1), ",", ""))</f>
        <v>71861</v>
      </c>
      <c r="AK127" s="20" t="str">
        <f>IF(AI127&gt;AC127, "YES","")</f>
        <v>YES</v>
      </c>
    </row>
    <row r="128" spans="1:37" x14ac:dyDescent="0.25">
      <c r="A128" s="17">
        <v>45799</v>
      </c>
      <c r="B128" s="12" t="s">
        <v>58</v>
      </c>
      <c r="C128" s="12">
        <v>43</v>
      </c>
      <c r="D128" s="12" t="s">
        <v>68</v>
      </c>
      <c r="E128" s="12" t="s">
        <v>33</v>
      </c>
      <c r="F128" s="12" t="s">
        <v>34</v>
      </c>
      <c r="G128" s="12" t="s">
        <v>35</v>
      </c>
      <c r="H128" s="12">
        <v>42</v>
      </c>
      <c r="I128" s="12" t="s">
        <v>49</v>
      </c>
      <c r="J128" s="12" t="s">
        <v>33</v>
      </c>
      <c r="K128" s="12" t="s">
        <v>37</v>
      </c>
      <c r="L128" s="12" t="s">
        <v>38</v>
      </c>
      <c r="M128" s="12">
        <v>0.63</v>
      </c>
      <c r="N128" s="12">
        <v>7.4</v>
      </c>
      <c r="O128" s="12">
        <v>155.5</v>
      </c>
      <c r="P128" s="12">
        <v>215.2</v>
      </c>
      <c r="Q128" s="16">
        <v>5000000</v>
      </c>
      <c r="R128" s="16">
        <v>7900000</v>
      </c>
      <c r="S128" s="16">
        <v>-800179</v>
      </c>
      <c r="T128" s="12">
        <v>405</v>
      </c>
      <c r="U128" s="12">
        <v>222</v>
      </c>
      <c r="V128" s="12"/>
      <c r="W128" s="16">
        <v>-132360</v>
      </c>
      <c r="X128" s="12" t="s">
        <v>1160</v>
      </c>
      <c r="Y128" s="12" t="s">
        <v>1161</v>
      </c>
      <c r="Z128" s="12" t="s">
        <v>1162</v>
      </c>
      <c r="AA128" s="12"/>
      <c r="AB128" s="1"/>
      <c r="AC128" s="8">
        <v>77750</v>
      </c>
      <c r="AD128" s="8">
        <v>124221.1088295688</v>
      </c>
      <c r="AE128" s="8">
        <v>124221.1088295688</v>
      </c>
      <c r="AF128" s="8">
        <f>VALUE(SUBSTITUTE(LEFT(Z128, FIND(" ", Z128) - 1), ",", ""))</f>
        <v>39763</v>
      </c>
      <c r="AG128" s="15">
        <f ca="1">(AF128/YEARFRAC(A128,TODAY())/P128)</f>
        <v>337.65497329836018</v>
      </c>
      <c r="AI128" s="8">
        <f>VALUE(SUBSTITUTE(LEFT(X128, FIND(" ", X128) - 1), ",", ""))</f>
        <v>120622</v>
      </c>
      <c r="AK128" s="20" t="str">
        <f>IF(AI128&gt;AC128, "YES","")</f>
        <v>YES</v>
      </c>
    </row>
    <row r="129" spans="1:37" x14ac:dyDescent="0.25">
      <c r="A129" s="5">
        <v>45373</v>
      </c>
      <c r="B129" s="20" t="s">
        <v>58</v>
      </c>
      <c r="C129" s="20">
        <v>41</v>
      </c>
      <c r="D129" s="20" t="s">
        <v>284</v>
      </c>
      <c r="E129" s="20" t="s">
        <v>33</v>
      </c>
      <c r="F129" s="20" t="s">
        <v>37</v>
      </c>
      <c r="G129" s="20" t="s">
        <v>35</v>
      </c>
      <c r="H129" s="20">
        <v>40</v>
      </c>
      <c r="I129" s="20" t="s">
        <v>82</v>
      </c>
      <c r="J129" s="20" t="s">
        <v>33</v>
      </c>
      <c r="K129" s="20" t="s">
        <v>34</v>
      </c>
      <c r="L129" s="20" t="s">
        <v>38</v>
      </c>
      <c r="M129" s="20">
        <v>2.82</v>
      </c>
      <c r="N129" s="20">
        <v>67.099999999999994</v>
      </c>
      <c r="O129" s="20">
        <v>230.7</v>
      </c>
      <c r="P129" s="20">
        <v>14.9</v>
      </c>
      <c r="Q129" s="8">
        <v>5000000</v>
      </c>
      <c r="R129" s="8">
        <v>1773802</v>
      </c>
      <c r="S129" s="8">
        <v>-737304</v>
      </c>
      <c r="T129" s="20">
        <v>171</v>
      </c>
      <c r="U129" s="20">
        <v>641</v>
      </c>
      <c r="V129" s="20"/>
      <c r="W129" s="8">
        <v>-385039</v>
      </c>
      <c r="X129" s="20" t="s">
        <v>665</v>
      </c>
      <c r="Y129" s="20" t="s">
        <v>666</v>
      </c>
      <c r="Z129" s="20" t="s">
        <v>667</v>
      </c>
      <c r="AA129" s="20" t="s">
        <v>42</v>
      </c>
      <c r="AB129" s="1"/>
      <c r="AC129" s="8">
        <v>115350</v>
      </c>
      <c r="AD129" s="8">
        <v>133880.98020205341</v>
      </c>
      <c r="AE129" s="8">
        <v>133880.98020205341</v>
      </c>
      <c r="AF129" s="8">
        <f>VALUE(SUBSTITUTE(LEFT(Z129, FIND(" ", Z129) - 1), ",", ""))</f>
        <v>186760</v>
      </c>
      <c r="AG129" s="15">
        <f ca="1">(AF129/YEARFRAC(A129,TODAY())/P129)</f>
        <v>7313.3260091588436</v>
      </c>
      <c r="AI129" s="8">
        <f>VALUE(SUBSTITUTE(LEFT(X129, FIND(" ", X129) - 1), ",", ""))</f>
        <v>207162</v>
      </c>
      <c r="AK129" s="20" t="str">
        <f>IF(AI129&gt;AC129, "YES","")</f>
        <v>YES</v>
      </c>
    </row>
    <row r="130" spans="1:37" hidden="1" x14ac:dyDescent="0.25">
      <c r="A130" s="5">
        <v>45688</v>
      </c>
      <c r="B130" s="1" t="s">
        <v>35</v>
      </c>
      <c r="C130" s="1">
        <v>42</v>
      </c>
      <c r="D130" s="1" t="s">
        <v>43</v>
      </c>
      <c r="E130" s="1" t="s">
        <v>33</v>
      </c>
      <c r="F130" s="1" t="s">
        <v>37</v>
      </c>
      <c r="G130" s="1" t="s">
        <v>58</v>
      </c>
      <c r="H130" s="1">
        <v>42</v>
      </c>
      <c r="I130" s="1" t="s">
        <v>43</v>
      </c>
      <c r="J130" s="1" t="s">
        <v>33</v>
      </c>
      <c r="K130" s="1" t="s">
        <v>34</v>
      </c>
      <c r="L130" s="1" t="s">
        <v>118</v>
      </c>
      <c r="M130" s="1">
        <v>1</v>
      </c>
      <c r="N130" s="1">
        <v>-12.3</v>
      </c>
      <c r="O130" s="1">
        <v>14.6</v>
      </c>
      <c r="P130" s="1">
        <v>1221.2</v>
      </c>
      <c r="Q130" s="8">
        <v>39842247</v>
      </c>
      <c r="R130" s="8">
        <v>40000000</v>
      </c>
      <c r="S130" s="8">
        <v>-768651</v>
      </c>
      <c r="T130" s="1">
        <v>288</v>
      </c>
      <c r="U130" s="1">
        <v>274</v>
      </c>
      <c r="V130" s="1"/>
      <c r="W130" s="8">
        <v>705402</v>
      </c>
      <c r="X130" s="1" t="s">
        <v>945</v>
      </c>
      <c r="Y130" s="1" t="s">
        <v>946</v>
      </c>
      <c r="Z130" s="1" t="s">
        <v>947</v>
      </c>
      <c r="AA130" s="1"/>
      <c r="AB130" s="1"/>
      <c r="AC130" s="14">
        <v>58169.680619999999</v>
      </c>
      <c r="AD130" s="22">
        <v>-800456.6107115671</v>
      </c>
      <c r="AE130" s="23">
        <v>145935.3811628171</v>
      </c>
      <c r="AF130" s="21">
        <f>VALUE(SUBSTITUTE(LEFT(Z130, FIND(" ", Z130) - 1), ",", ""))</f>
        <v>-414081</v>
      </c>
      <c r="AG130" s="13">
        <f ca="1">(AF130/YEARFRAC(A130,TODAY())/P130)</f>
        <v>-395.04132494220232</v>
      </c>
      <c r="AH130" s="19" t="s">
        <v>1238</v>
      </c>
      <c r="AI130" s="14">
        <f>VALUE(SUBSTITUTE(LEFT(X130, FIND(" ", X130) - 1), ",", ""))</f>
        <v>1458290</v>
      </c>
      <c r="AK130" s="20" t="str">
        <f>IF(AI130&gt;AC130, "YES","")</f>
        <v>YES</v>
      </c>
    </row>
    <row r="131" spans="1:37" x14ac:dyDescent="0.25">
      <c r="A131" s="5">
        <v>45468</v>
      </c>
      <c r="B131" s="20" t="s">
        <v>35</v>
      </c>
      <c r="C131" s="20">
        <v>40</v>
      </c>
      <c r="D131" s="20" t="s">
        <v>82</v>
      </c>
      <c r="E131" s="20" t="s">
        <v>33</v>
      </c>
      <c r="F131" s="20" t="s">
        <v>34</v>
      </c>
      <c r="G131" s="20" t="s">
        <v>35</v>
      </c>
      <c r="H131" s="20">
        <v>40</v>
      </c>
      <c r="I131" s="20" t="s">
        <v>49</v>
      </c>
      <c r="J131" s="20" t="s">
        <v>33</v>
      </c>
      <c r="K131" s="20" t="s">
        <v>37</v>
      </c>
      <c r="L131" s="20" t="s">
        <v>38</v>
      </c>
      <c r="M131" s="20">
        <v>0.43</v>
      </c>
      <c r="N131" s="20">
        <v>75.400000000000006</v>
      </c>
      <c r="O131" s="20">
        <v>147.69999999999999</v>
      </c>
      <c r="P131" s="20">
        <v>101.3</v>
      </c>
      <c r="Q131" s="8">
        <v>4298732</v>
      </c>
      <c r="R131" s="8">
        <v>10000000</v>
      </c>
      <c r="S131" s="8">
        <v>-1402559</v>
      </c>
      <c r="T131" s="20">
        <v>658</v>
      </c>
      <c r="U131" s="20">
        <v>250</v>
      </c>
      <c r="V131" s="20"/>
      <c r="W131" s="8">
        <v>-642522</v>
      </c>
      <c r="X131" s="20" t="s">
        <v>444</v>
      </c>
      <c r="Y131" s="20" t="s">
        <v>445</v>
      </c>
      <c r="Z131" s="20" t="s">
        <v>446</v>
      </c>
      <c r="AA131" s="20" t="s">
        <v>42</v>
      </c>
      <c r="AB131" s="1"/>
      <c r="AC131" s="8">
        <v>63492.271639999992</v>
      </c>
      <c r="AD131" s="8">
        <v>147438.49697029401</v>
      </c>
      <c r="AE131" s="8">
        <v>147438.49697029401</v>
      </c>
      <c r="AF131" s="8">
        <f>VALUE(SUBSTITUTE(LEFT(Z131, FIND(" ", Z131) - 1), ",", ""))</f>
        <v>237803</v>
      </c>
      <c r="AG131" s="15">
        <f ca="1">(AF131/YEARFRAC(A131,TODAY())/P131)</f>
        <v>1612.7947371197336</v>
      </c>
      <c r="AI131" s="8">
        <f>VALUE(SUBSTITUTE(LEFT(X131, FIND(" ", X131) - 1), ",", ""))</f>
        <v>247531</v>
      </c>
      <c r="AK131" s="20" t="str">
        <f>IF(AI131&gt;AC131, "YES","")</f>
        <v>YES</v>
      </c>
    </row>
    <row r="132" spans="1:37" x14ac:dyDescent="0.25">
      <c r="A132" s="5">
        <v>45469</v>
      </c>
      <c r="B132" s="20" t="s">
        <v>35</v>
      </c>
      <c r="C132" s="20">
        <v>40</v>
      </c>
      <c r="D132" s="20" t="s">
        <v>82</v>
      </c>
      <c r="E132" s="20" t="s">
        <v>33</v>
      </c>
      <c r="F132" s="20" t="s">
        <v>34</v>
      </c>
      <c r="G132" s="20" t="s">
        <v>35</v>
      </c>
      <c r="H132" s="20">
        <v>40</v>
      </c>
      <c r="I132" s="20" t="s">
        <v>49</v>
      </c>
      <c r="J132" s="20" t="s">
        <v>33</v>
      </c>
      <c r="K132" s="20" t="s">
        <v>37</v>
      </c>
      <c r="L132" s="20" t="s">
        <v>38</v>
      </c>
      <c r="M132" s="20">
        <v>0.43</v>
      </c>
      <c r="N132" s="20">
        <v>77.7</v>
      </c>
      <c r="O132" s="20">
        <v>156.9</v>
      </c>
      <c r="P132" s="20">
        <v>95.3</v>
      </c>
      <c r="Q132" s="8">
        <v>4298501</v>
      </c>
      <c r="R132" s="8">
        <v>10000000</v>
      </c>
      <c r="S132" s="8">
        <v>-1406699</v>
      </c>
      <c r="T132" s="20">
        <v>666</v>
      </c>
      <c r="U132" s="20">
        <v>253</v>
      </c>
      <c r="V132" s="20"/>
      <c r="W132" s="8">
        <v>-636956</v>
      </c>
      <c r="X132" s="20" t="s">
        <v>754</v>
      </c>
      <c r="Y132" s="20" t="s">
        <v>755</v>
      </c>
      <c r="Z132" s="20" t="s">
        <v>756</v>
      </c>
      <c r="AA132" s="20" t="s">
        <v>42</v>
      </c>
      <c r="AB132" s="1"/>
      <c r="AC132" s="8">
        <v>67443.480689999997</v>
      </c>
      <c r="AD132" s="8">
        <v>149248.22146694059</v>
      </c>
      <c r="AE132" s="8">
        <v>149248.22146694059</v>
      </c>
      <c r="AF132" s="8">
        <f>VALUE(SUBSTITUTE(LEFT(Z132, FIND(" ", Z132) - 1), ",", ""))</f>
        <v>241842</v>
      </c>
      <c r="AG132" s="15">
        <f ca="1">(AF132/YEARFRAC(A132,TODAY())/P132)</f>
        <v>1746.7857364988092</v>
      </c>
      <c r="AI132" s="8">
        <f>VALUE(SUBSTITUTE(LEFT(X132, FIND(" ", X132) - 1), ",", ""))</f>
        <v>251543</v>
      </c>
      <c r="AK132" s="20" t="str">
        <f>IF(AI132&gt;AC132, "YES","")</f>
        <v>YES</v>
      </c>
    </row>
    <row r="133" spans="1:37" x14ac:dyDescent="0.25">
      <c r="A133" s="5">
        <v>45617</v>
      </c>
      <c r="B133" s="20" t="s">
        <v>58</v>
      </c>
      <c r="C133" s="20">
        <v>41</v>
      </c>
      <c r="D133" s="20" t="s">
        <v>284</v>
      </c>
      <c r="E133" s="20" t="s">
        <v>33</v>
      </c>
      <c r="F133" s="20" t="s">
        <v>37</v>
      </c>
      <c r="G133" s="20" t="s">
        <v>44</v>
      </c>
      <c r="H133" s="20">
        <v>40</v>
      </c>
      <c r="I133" s="20" t="s">
        <v>50</v>
      </c>
      <c r="J133" s="20" t="s">
        <v>33</v>
      </c>
      <c r="K133" s="20" t="s">
        <v>34</v>
      </c>
      <c r="L133" s="20" t="s">
        <v>38</v>
      </c>
      <c r="M133" s="20">
        <v>0.85</v>
      </c>
      <c r="N133" s="20">
        <v>121.4</v>
      </c>
      <c r="O133" s="20">
        <v>149.4</v>
      </c>
      <c r="P133" s="20">
        <v>76</v>
      </c>
      <c r="Q133" s="8">
        <v>4231734</v>
      </c>
      <c r="R133" s="8">
        <v>5000000</v>
      </c>
      <c r="S133" s="8">
        <v>-685109</v>
      </c>
      <c r="T133" s="20">
        <v>105</v>
      </c>
      <c r="U133" s="20">
        <v>165</v>
      </c>
      <c r="V133" s="20"/>
      <c r="W133" s="8">
        <v>-362633</v>
      </c>
      <c r="X133" s="20" t="s">
        <v>535</v>
      </c>
      <c r="Y133" s="20" t="s">
        <v>536</v>
      </c>
      <c r="Z133" s="20" t="s">
        <v>537</v>
      </c>
      <c r="AA133" s="20" t="s">
        <v>538</v>
      </c>
      <c r="AB133" s="1"/>
      <c r="AC133" s="8">
        <v>63222.105960000001</v>
      </c>
      <c r="AD133" s="8">
        <v>155289.58677618069</v>
      </c>
      <c r="AE133" s="8">
        <v>155289.58677618069</v>
      </c>
      <c r="AF133" s="8">
        <f>VALUE(SUBSTITUTE(LEFT(Z133, FIND(" ", Z133) - 1), ",", ""))</f>
        <v>124166</v>
      </c>
      <c r="AG133" s="15">
        <f ca="1">(AF133/YEARFRAC(A133,TODAY())/P133)</f>
        <v>1555.9649122807016</v>
      </c>
      <c r="AI133" s="8">
        <f>VALUE(SUBSTITUTE(LEFT(X133, FIND(" ", X133) - 1), ",", ""))</f>
        <v>135685</v>
      </c>
      <c r="AK133" s="20" t="str">
        <f>IF(AI133&gt;AC133, "YES","")</f>
        <v>YES</v>
      </c>
    </row>
    <row r="134" spans="1:37" x14ac:dyDescent="0.25">
      <c r="A134" s="17">
        <v>45726</v>
      </c>
      <c r="B134" s="12" t="s">
        <v>31</v>
      </c>
      <c r="C134" s="12">
        <v>43</v>
      </c>
      <c r="D134" s="12" t="s">
        <v>32</v>
      </c>
      <c r="E134" s="12" t="s">
        <v>33</v>
      </c>
      <c r="F134" s="12" t="s">
        <v>34</v>
      </c>
      <c r="G134" s="12" t="s">
        <v>35</v>
      </c>
      <c r="H134" s="12">
        <v>42</v>
      </c>
      <c r="I134" s="12" t="s">
        <v>36</v>
      </c>
      <c r="J134" s="12" t="s">
        <v>33</v>
      </c>
      <c r="K134" s="12" t="s">
        <v>37</v>
      </c>
      <c r="L134" s="12" t="s">
        <v>38</v>
      </c>
      <c r="M134" s="12">
        <v>0.44</v>
      </c>
      <c r="N134" s="12">
        <v>4.3</v>
      </c>
      <c r="O134" s="12">
        <v>53.2</v>
      </c>
      <c r="P134" s="12">
        <v>971</v>
      </c>
      <c r="Q134" s="16">
        <v>15000000</v>
      </c>
      <c r="R134" s="16">
        <v>34200000</v>
      </c>
      <c r="S134" s="16">
        <v>-7108586</v>
      </c>
      <c r="T134" s="12">
        <v>218</v>
      </c>
      <c r="U134" s="12">
        <v>86</v>
      </c>
      <c r="V134" s="12"/>
      <c r="W134" s="16">
        <v>-5193500</v>
      </c>
      <c r="X134" s="12" t="s">
        <v>1107</v>
      </c>
      <c r="Y134" s="12" t="s">
        <v>1108</v>
      </c>
      <c r="Z134" s="12" t="s">
        <v>1109</v>
      </c>
      <c r="AA134" s="12" t="s">
        <v>42</v>
      </c>
      <c r="AB134" s="1"/>
      <c r="AC134" s="8">
        <v>79800</v>
      </c>
      <c r="AD134" s="8">
        <v>157175.85215605749</v>
      </c>
      <c r="AE134" s="8">
        <v>157175.85215605749</v>
      </c>
      <c r="AF134" s="8">
        <f>VALUE(SUBSTITUTE(LEFT(Z134, FIND(" ", Z134) - 1), ",", ""))</f>
        <v>273153</v>
      </c>
      <c r="AG134" s="15">
        <f ca="1">(AF134/YEARFRAC(A134,TODAY())/P134)</f>
        <v>376.47571391927232</v>
      </c>
      <c r="AI134" s="8">
        <f>VALUE(SUBSTITUTE(LEFT(X134, FIND(" ", X134) - 1), ",", ""))</f>
        <v>626549</v>
      </c>
      <c r="AK134" s="20" t="str">
        <f>IF(AI134&gt;AC134, "YES","")</f>
        <v>YES</v>
      </c>
    </row>
    <row r="135" spans="1:37" x14ac:dyDescent="0.25">
      <c r="A135" s="5">
        <v>45447</v>
      </c>
      <c r="B135" s="20" t="s">
        <v>58</v>
      </c>
      <c r="C135" s="20">
        <v>41</v>
      </c>
      <c r="D135" s="20" t="s">
        <v>68</v>
      </c>
      <c r="E135" s="20" t="s">
        <v>33</v>
      </c>
      <c r="F135" s="20" t="s">
        <v>37</v>
      </c>
      <c r="G135" s="20" t="s">
        <v>35</v>
      </c>
      <c r="H135" s="20">
        <v>40</v>
      </c>
      <c r="I135" s="20" t="s">
        <v>82</v>
      </c>
      <c r="J135" s="20" t="s">
        <v>33</v>
      </c>
      <c r="K135" s="20" t="s">
        <v>34</v>
      </c>
      <c r="L135" s="20" t="s">
        <v>38</v>
      </c>
      <c r="M135" s="20">
        <v>1.25</v>
      </c>
      <c r="N135" s="20">
        <v>94.8</v>
      </c>
      <c r="O135" s="20">
        <v>132.30000000000001</v>
      </c>
      <c r="P135" s="20">
        <v>26.6</v>
      </c>
      <c r="Q135" s="8">
        <v>5000000</v>
      </c>
      <c r="R135" s="8">
        <v>3986809</v>
      </c>
      <c r="S135" s="8">
        <v>-355130</v>
      </c>
      <c r="T135" s="20">
        <v>401</v>
      </c>
      <c r="U135" s="20">
        <v>597</v>
      </c>
      <c r="V135" s="20"/>
      <c r="W135" s="8">
        <v>145629</v>
      </c>
      <c r="X135" s="20" t="s">
        <v>727</v>
      </c>
      <c r="Y135" s="20" t="s">
        <v>728</v>
      </c>
      <c r="Z135" s="20" t="s">
        <v>729</v>
      </c>
      <c r="AA135" s="20" t="s">
        <v>42</v>
      </c>
      <c r="AB135" s="1"/>
      <c r="AC135" s="8">
        <v>66150</v>
      </c>
      <c r="AD135" s="8">
        <v>170488.00963175911</v>
      </c>
      <c r="AE135" s="8">
        <v>170488.00963175911</v>
      </c>
      <c r="AF135" s="8">
        <f>VALUE(SUBSTITUTE(LEFT(Z135, FIND(" ", Z135) - 1), ",", ""))</f>
        <v>186895</v>
      </c>
      <c r="AG135" s="15">
        <f ca="1">(AF135/YEARFRAC(A135,TODAY())/P135)</f>
        <v>4641.1119541974203</v>
      </c>
      <c r="AI135" s="8">
        <f>VALUE(SUBSTITUTE(LEFT(X135, FIND(" ", X135) - 1), ",", ""))</f>
        <v>252646</v>
      </c>
      <c r="AK135" s="20" t="str">
        <f>IF(AI135&gt;AC135, "YES","")</f>
        <v>YES</v>
      </c>
    </row>
    <row r="136" spans="1:37" x14ac:dyDescent="0.25">
      <c r="A136" s="5">
        <v>45447</v>
      </c>
      <c r="B136" s="1" t="s">
        <v>58</v>
      </c>
      <c r="C136" s="1">
        <v>41</v>
      </c>
      <c r="D136" s="1" t="s">
        <v>284</v>
      </c>
      <c r="E136" s="1" t="s">
        <v>33</v>
      </c>
      <c r="F136" s="1" t="s">
        <v>37</v>
      </c>
      <c r="G136" s="1" t="s">
        <v>35</v>
      </c>
      <c r="H136" s="1">
        <v>40</v>
      </c>
      <c r="I136" s="1" t="s">
        <v>82</v>
      </c>
      <c r="J136" s="1" t="s">
        <v>33</v>
      </c>
      <c r="K136" s="1" t="s">
        <v>34</v>
      </c>
      <c r="L136" s="1" t="s">
        <v>38</v>
      </c>
      <c r="M136" s="1">
        <v>2.4900000000000002</v>
      </c>
      <c r="N136" s="1">
        <v>96.6</v>
      </c>
      <c r="O136" s="1">
        <v>122.3</v>
      </c>
      <c r="P136" s="1">
        <v>53</v>
      </c>
      <c r="Q136" s="8">
        <v>5000000</v>
      </c>
      <c r="R136" s="8">
        <v>2005465</v>
      </c>
      <c r="S136" s="8">
        <v>-705675</v>
      </c>
      <c r="T136" s="1">
        <v>155</v>
      </c>
      <c r="U136" s="1">
        <v>597</v>
      </c>
      <c r="V136" s="1"/>
      <c r="W136" s="8">
        <v>-343386</v>
      </c>
      <c r="X136" s="1" t="s">
        <v>713</v>
      </c>
      <c r="Y136" s="1" t="s">
        <v>714</v>
      </c>
      <c r="Z136" s="1" t="s">
        <v>715</v>
      </c>
      <c r="AA136" s="1" t="s">
        <v>42</v>
      </c>
      <c r="AB136" s="1"/>
      <c r="AC136" s="8">
        <v>61150</v>
      </c>
      <c r="AD136" s="8">
        <v>191911.27290896649</v>
      </c>
      <c r="AE136" s="8">
        <v>191911.27290896649</v>
      </c>
      <c r="AF136" s="8">
        <f>VALUE(SUBSTITUTE(LEFT(Z136, FIND(" ", Z136) - 1), ",", ""))</f>
        <v>211225</v>
      </c>
      <c r="AG136" s="15">
        <f ca="1">(AF136/YEARFRAC(A136,TODAY())/P136)</f>
        <v>2632.5428423056956</v>
      </c>
      <c r="AI136" s="8">
        <f>VALUE(SUBSTITUTE(LEFT(X136, FIND(" ", X136) - 1), ",", ""))</f>
        <v>231806</v>
      </c>
      <c r="AK136" s="20" t="str">
        <f>IF(AI136&gt;AC136, "YES","")</f>
        <v>YES</v>
      </c>
    </row>
    <row r="137" spans="1:37" x14ac:dyDescent="0.25">
      <c r="A137" s="5">
        <v>45373</v>
      </c>
      <c r="B137" s="20" t="s">
        <v>35</v>
      </c>
      <c r="C137" s="20">
        <v>40</v>
      </c>
      <c r="D137" s="20" t="s">
        <v>82</v>
      </c>
      <c r="E137" s="20" t="s">
        <v>33</v>
      </c>
      <c r="F137" s="20" t="s">
        <v>34</v>
      </c>
      <c r="G137" s="20" t="s">
        <v>35</v>
      </c>
      <c r="H137" s="20">
        <v>40</v>
      </c>
      <c r="I137" s="20" t="s">
        <v>49</v>
      </c>
      <c r="J137" s="20" t="s">
        <v>33</v>
      </c>
      <c r="K137" s="20" t="s">
        <v>37</v>
      </c>
      <c r="L137" s="20" t="s">
        <v>38</v>
      </c>
      <c r="M137" s="20">
        <v>0.43</v>
      </c>
      <c r="N137" s="20">
        <v>96.7</v>
      </c>
      <c r="O137" s="20">
        <v>413</v>
      </c>
      <c r="P137" s="20">
        <v>42.6</v>
      </c>
      <c r="Q137" s="8">
        <v>4297944</v>
      </c>
      <c r="R137" s="8">
        <v>10000000</v>
      </c>
      <c r="S137" s="8">
        <v>-1517492</v>
      </c>
      <c r="T137" s="20">
        <v>641</v>
      </c>
      <c r="U137" s="20">
        <v>234</v>
      </c>
      <c r="V137" s="20"/>
      <c r="W137" s="8">
        <v>-834447</v>
      </c>
      <c r="X137" s="20" t="s">
        <v>658</v>
      </c>
      <c r="Y137" s="20" t="s">
        <v>659</v>
      </c>
      <c r="Z137" s="20" t="s">
        <v>660</v>
      </c>
      <c r="AA137" s="20" t="s">
        <v>42</v>
      </c>
      <c r="AB137" s="1"/>
      <c r="AC137" s="8">
        <v>177505.08720000001</v>
      </c>
      <c r="AD137" s="8">
        <v>197009.98448624229</v>
      </c>
      <c r="AE137" s="8">
        <v>197009.98448624229</v>
      </c>
      <c r="AF137" s="8">
        <f>VALUE(SUBSTITUTE(LEFT(Z137, FIND(" ", Z137) - 1), ",", ""))</f>
        <v>314581</v>
      </c>
      <c r="AG137" s="15">
        <f ca="1">(AF137/YEARFRAC(A137,TODAY())/P137)</f>
        <v>4308.640171662063</v>
      </c>
      <c r="AI137" s="8">
        <f>VALUE(SUBSTITUTE(LEFT(X137, FIND(" ", X137) - 1), ",", ""))</f>
        <v>324376</v>
      </c>
      <c r="AK137" s="20" t="str">
        <f>IF(AI137&gt;AC137, "YES","")</f>
        <v>YES</v>
      </c>
    </row>
    <row r="138" spans="1:37" x14ac:dyDescent="0.25">
      <c r="A138" s="5">
        <v>44980</v>
      </c>
      <c r="B138" s="20" t="s">
        <v>58</v>
      </c>
      <c r="C138" s="20">
        <v>36</v>
      </c>
      <c r="D138" s="20" t="s">
        <v>43</v>
      </c>
      <c r="E138" s="20" t="s">
        <v>78</v>
      </c>
      <c r="F138" s="20" t="s">
        <v>34</v>
      </c>
      <c r="G138" s="20" t="s">
        <v>31</v>
      </c>
      <c r="H138" s="20">
        <v>36</v>
      </c>
      <c r="I138" s="20" t="s">
        <v>43</v>
      </c>
      <c r="J138" s="20" t="s">
        <v>78</v>
      </c>
      <c r="K138" s="20" t="s">
        <v>37</v>
      </c>
      <c r="L138" s="20" t="s">
        <v>38</v>
      </c>
      <c r="M138" s="20">
        <v>0.19</v>
      </c>
      <c r="N138" s="20">
        <v>1.9</v>
      </c>
      <c r="O138" s="20">
        <v>281.39999999999998</v>
      </c>
      <c r="P138" s="20">
        <v>337.9</v>
      </c>
      <c r="Q138" s="8">
        <v>13023422</v>
      </c>
      <c r="R138" s="8">
        <v>70000000</v>
      </c>
      <c r="S138" s="8">
        <v>-223753</v>
      </c>
      <c r="T138" s="20">
        <v>422</v>
      </c>
      <c r="U138" s="20">
        <v>78</v>
      </c>
      <c r="V138" s="20"/>
      <c r="W138" s="8">
        <v>778741</v>
      </c>
      <c r="X138" s="20" t="s">
        <v>256</v>
      </c>
      <c r="Y138" s="20" t="s">
        <v>257</v>
      </c>
      <c r="Z138" s="20" t="s">
        <v>258</v>
      </c>
      <c r="AA138" s="20"/>
      <c r="AB138" s="1"/>
      <c r="AC138" s="8">
        <v>366479.09508</v>
      </c>
      <c r="AD138" s="8">
        <v>19098.88002628367</v>
      </c>
      <c r="AE138" s="25">
        <v>198199.55725508949</v>
      </c>
      <c r="AF138" s="8">
        <f>VALUE(SUBSTITUTE(LEFT(Z138, FIND(" ", Z138) - 1), ",", ""))</f>
        <v>39248</v>
      </c>
      <c r="AG138" s="15">
        <f ca="1">(AF138/YEARFRAC(A138,TODAY())/P138)</f>
        <v>41.565581356489652</v>
      </c>
      <c r="AI138" s="8">
        <f>VALUE(SUBSTITUTE(LEFT(X138, FIND(" ", X138) - 1), ",", ""))</f>
        <v>335675</v>
      </c>
      <c r="AK138" s="20" t="str">
        <f>IF(AI138&gt;AC138, "YES","")</f>
        <v/>
      </c>
    </row>
    <row r="139" spans="1:37" x14ac:dyDescent="0.25">
      <c r="A139" s="5">
        <v>45496</v>
      </c>
      <c r="B139" s="1" t="s">
        <v>58</v>
      </c>
      <c r="C139" s="1">
        <v>41</v>
      </c>
      <c r="D139" s="1" t="s">
        <v>36</v>
      </c>
      <c r="E139" s="1" t="s">
        <v>33</v>
      </c>
      <c r="F139" s="1" t="s">
        <v>37</v>
      </c>
      <c r="G139" s="1" t="s">
        <v>35</v>
      </c>
      <c r="H139" s="1">
        <v>40</v>
      </c>
      <c r="I139" s="1" t="s">
        <v>82</v>
      </c>
      <c r="J139" s="1" t="s">
        <v>33</v>
      </c>
      <c r="K139" s="1" t="s">
        <v>34</v>
      </c>
      <c r="L139" s="1" t="s">
        <v>38</v>
      </c>
      <c r="M139" s="1">
        <v>8.4499999999999993</v>
      </c>
      <c r="N139" s="1">
        <v>18.100000000000001</v>
      </c>
      <c r="O139" s="1">
        <v>18.899999999999999</v>
      </c>
      <c r="P139" s="1">
        <v>68.099999999999994</v>
      </c>
      <c r="Q139" s="8">
        <v>35000000</v>
      </c>
      <c r="R139" s="8">
        <v>4140171</v>
      </c>
      <c r="S139" s="8">
        <v>-5403498</v>
      </c>
      <c r="T139" s="1">
        <v>54</v>
      </c>
      <c r="U139" s="1">
        <v>568</v>
      </c>
      <c r="V139" s="1"/>
      <c r="W139" s="8">
        <v>-4779327</v>
      </c>
      <c r="X139" s="1" t="s">
        <v>780</v>
      </c>
      <c r="Y139" s="1" t="s">
        <v>781</v>
      </c>
      <c r="Z139" s="1" t="s">
        <v>782</v>
      </c>
      <c r="AA139" s="1" t="s">
        <v>42</v>
      </c>
      <c r="AB139" s="1"/>
      <c r="AC139" s="8">
        <v>66149.999999999985</v>
      </c>
      <c r="AD139" s="8">
        <v>203604.433458727</v>
      </c>
      <c r="AE139" s="8">
        <v>203604.433458727</v>
      </c>
      <c r="AF139" s="8">
        <f>VALUE(SUBSTITUTE(LEFT(Z139, FIND(" ", Z139) - 1), ",", ""))</f>
        <v>767289</v>
      </c>
      <c r="AG139" s="15">
        <f ca="1">(AF139/YEARFRAC(A139,TODAY())/P139)</f>
        <v>8177.7284354128178</v>
      </c>
      <c r="AI139" s="8">
        <f>VALUE(SUBSTITUTE(LEFT(X139, FIND(" ", X139) - 1), ",", ""))</f>
        <v>792854</v>
      </c>
      <c r="AK139" s="20" t="str">
        <f>IF(AI139&gt;AC139, "YES","")</f>
        <v>YES</v>
      </c>
    </row>
    <row r="140" spans="1:37" x14ac:dyDescent="0.25">
      <c r="A140" s="5">
        <v>44545</v>
      </c>
      <c r="B140" s="20" t="s">
        <v>58</v>
      </c>
      <c r="C140" s="20">
        <v>35</v>
      </c>
      <c r="D140" s="20" t="s">
        <v>36</v>
      </c>
      <c r="E140" s="20" t="s">
        <v>33</v>
      </c>
      <c r="F140" s="20" t="s">
        <v>37</v>
      </c>
      <c r="G140" s="20" t="s">
        <v>58</v>
      </c>
      <c r="H140" s="20">
        <v>34</v>
      </c>
      <c r="I140" s="20" t="s">
        <v>43</v>
      </c>
      <c r="J140" s="20" t="s">
        <v>33</v>
      </c>
      <c r="K140" s="20" t="s">
        <v>34</v>
      </c>
      <c r="L140" s="20" t="s">
        <v>38</v>
      </c>
      <c r="M140" s="20">
        <v>1.1100000000000001</v>
      </c>
      <c r="N140" s="20">
        <v>195.3</v>
      </c>
      <c r="O140" s="20">
        <v>41.7</v>
      </c>
      <c r="P140" s="20">
        <v>60.2</v>
      </c>
      <c r="Q140" s="8">
        <v>15000000</v>
      </c>
      <c r="R140" s="8">
        <v>13500804</v>
      </c>
      <c r="S140" s="8">
        <v>-2196224</v>
      </c>
      <c r="T140" s="20">
        <v>49</v>
      </c>
      <c r="U140" s="20">
        <v>263</v>
      </c>
      <c r="V140" s="20"/>
      <c r="W140" s="8">
        <v>-2196224</v>
      </c>
      <c r="X140" s="20" t="s">
        <v>107</v>
      </c>
      <c r="Y140" s="20" t="s">
        <v>108</v>
      </c>
      <c r="Z140" s="20" t="s">
        <v>109</v>
      </c>
      <c r="AA140" s="20" t="s">
        <v>42</v>
      </c>
      <c r="AB140" s="1" t="s">
        <v>110</v>
      </c>
      <c r="AC140" s="8">
        <v>62550</v>
      </c>
      <c r="AD140" s="8">
        <v>952238.95767720765</v>
      </c>
      <c r="AE140" s="8">
        <v>211983.74150810399</v>
      </c>
      <c r="AF140" s="8">
        <f>VALUE(SUBSTITUTE(LEFT(Z140, FIND(" ", Z140) - 1), ",", ""))</f>
        <v>1651271</v>
      </c>
      <c r="AG140" s="15">
        <f ca="1">(AF140/YEARFRAC(A140,TODAY())/P140)</f>
        <v>6886.1299156229579</v>
      </c>
      <c r="AI140" s="8">
        <f>VALUE(SUBSTITUTE(LEFT(X140, FIND(" ", X140) - 1), ",", ""))</f>
        <v>1652503</v>
      </c>
      <c r="AK140" s="20" t="str">
        <f>IF(AI140&gt;AC140, "YES","")</f>
        <v>YES</v>
      </c>
    </row>
    <row r="141" spans="1:37" x14ac:dyDescent="0.25">
      <c r="A141" s="5">
        <v>45623</v>
      </c>
      <c r="B141" s="1" t="s">
        <v>44</v>
      </c>
      <c r="C141" s="1">
        <v>42</v>
      </c>
      <c r="D141" s="1" t="s">
        <v>50</v>
      </c>
      <c r="E141" s="1" t="s">
        <v>33</v>
      </c>
      <c r="F141" s="1" t="s">
        <v>34</v>
      </c>
      <c r="G141" s="1" t="s">
        <v>58</v>
      </c>
      <c r="H141" s="1">
        <v>41</v>
      </c>
      <c r="I141" s="1" t="s">
        <v>68</v>
      </c>
      <c r="J141" s="1" t="s">
        <v>33</v>
      </c>
      <c r="K141" s="1" t="s">
        <v>37</v>
      </c>
      <c r="L141" s="1" t="s">
        <v>38</v>
      </c>
      <c r="M141" s="1">
        <v>1.37</v>
      </c>
      <c r="N141" s="1">
        <v>25.5</v>
      </c>
      <c r="O141" s="1">
        <v>104.8</v>
      </c>
      <c r="P141" s="1">
        <v>104.5</v>
      </c>
      <c r="Q141" s="8">
        <v>6829167</v>
      </c>
      <c r="R141" s="8">
        <v>5000000</v>
      </c>
      <c r="S141" s="8">
        <v>-791861</v>
      </c>
      <c r="T141" s="1">
        <v>210</v>
      </c>
      <c r="U141" s="1">
        <v>252</v>
      </c>
      <c r="V141" s="1"/>
      <c r="W141" s="8">
        <v>-41992</v>
      </c>
      <c r="X141" s="1" t="s">
        <v>892</v>
      </c>
      <c r="Y141" s="1" t="s">
        <v>893</v>
      </c>
      <c r="Z141" s="1" t="s">
        <v>894</v>
      </c>
      <c r="AA141" s="1" t="s">
        <v>895</v>
      </c>
      <c r="AB141" s="1"/>
      <c r="AC141" s="8">
        <v>71569.670159999994</v>
      </c>
      <c r="AD141" s="8">
        <v>214060.849946612</v>
      </c>
      <c r="AE141" s="8">
        <v>214060.849946612</v>
      </c>
      <c r="AF141" s="8">
        <f>VALUE(SUBSTITUTE(LEFT(Z141, FIND(" ", Z141) - 1), ",", ""))</f>
        <v>158041</v>
      </c>
      <c r="AG141" s="15">
        <f ca="1">(AF141/YEARFRAC(A141,TODAY())/P141)</f>
        <v>1463.5684519215927</v>
      </c>
      <c r="AI141" s="8">
        <f>VALUE(SUBSTITUTE(LEFT(X141, FIND(" ", X141) - 1), ",", ""))</f>
        <v>708201</v>
      </c>
      <c r="AK141" s="20" t="str">
        <f>IF(AI141&gt;AC141, "YES","")</f>
        <v>YES</v>
      </c>
    </row>
    <row r="142" spans="1:37" x14ac:dyDescent="0.25">
      <c r="A142" s="5">
        <v>45469</v>
      </c>
      <c r="B142" s="1" t="s">
        <v>31</v>
      </c>
      <c r="C142" s="1">
        <v>41</v>
      </c>
      <c r="D142" s="1" t="s">
        <v>142</v>
      </c>
      <c r="E142" s="1" t="s">
        <v>33</v>
      </c>
      <c r="F142" s="1" t="s">
        <v>37</v>
      </c>
      <c r="G142" s="1" t="s">
        <v>35</v>
      </c>
      <c r="H142" s="1">
        <v>40</v>
      </c>
      <c r="I142" s="1" t="s">
        <v>82</v>
      </c>
      <c r="J142" s="1" t="s">
        <v>33</v>
      </c>
      <c r="K142" s="1" t="s">
        <v>34</v>
      </c>
      <c r="L142" s="1" t="s">
        <v>38</v>
      </c>
      <c r="M142" s="1">
        <v>8.1</v>
      </c>
      <c r="N142" s="1">
        <v>24.3</v>
      </c>
      <c r="O142" s="1">
        <v>22.1</v>
      </c>
      <c r="P142" s="1">
        <v>60.4</v>
      </c>
      <c r="Q142" s="8">
        <v>25000000</v>
      </c>
      <c r="R142" s="8">
        <v>3085385</v>
      </c>
      <c r="S142" s="8">
        <v>-573097</v>
      </c>
      <c r="T142" s="1">
        <v>63</v>
      </c>
      <c r="U142" s="1">
        <v>666</v>
      </c>
      <c r="V142" s="1"/>
      <c r="W142" s="8">
        <v>101019</v>
      </c>
      <c r="X142" s="1" t="s">
        <v>764</v>
      </c>
      <c r="Y142" s="1" t="s">
        <v>765</v>
      </c>
      <c r="Z142" s="1" t="s">
        <v>766</v>
      </c>
      <c r="AA142" s="1" t="s">
        <v>42</v>
      </c>
      <c r="AB142" s="1"/>
      <c r="AC142" s="8">
        <v>55250.000000000007</v>
      </c>
      <c r="AD142" s="8">
        <v>215200.87052156069</v>
      </c>
      <c r="AE142" s="8">
        <v>215200.87052156069</v>
      </c>
      <c r="AF142" s="8">
        <f>VALUE(SUBSTITUTE(LEFT(Z142, FIND(" ", Z142) - 1), ",", ""))</f>
        <v>313934</v>
      </c>
      <c r="AG142" s="15">
        <f ca="1">(AF142/YEARFRAC(A142,TODAY())/P142)</f>
        <v>3577.6860445975208</v>
      </c>
      <c r="AI142" s="8">
        <f>VALUE(SUBSTITUTE(LEFT(X142, FIND(" ", X142) - 1), ",", ""))</f>
        <v>337226</v>
      </c>
      <c r="AK142" s="20" t="str">
        <f>IF(AI142&gt;AC142, "YES","")</f>
        <v>YES</v>
      </c>
    </row>
    <row r="143" spans="1:37" x14ac:dyDescent="0.25">
      <c r="A143" s="5">
        <v>44397</v>
      </c>
      <c r="B143" s="20" t="s">
        <v>44</v>
      </c>
      <c r="C143" s="20">
        <v>34</v>
      </c>
      <c r="D143" s="20" t="s">
        <v>45</v>
      </c>
      <c r="E143" s="20" t="s">
        <v>33</v>
      </c>
      <c r="F143" s="20" t="s">
        <v>37</v>
      </c>
      <c r="G143" s="20" t="s">
        <v>44</v>
      </c>
      <c r="H143" s="20">
        <v>34</v>
      </c>
      <c r="I143" s="20" t="s">
        <v>50</v>
      </c>
      <c r="J143" s="20" t="s">
        <v>33</v>
      </c>
      <c r="K143" s="20" t="s">
        <v>34</v>
      </c>
      <c r="L143" s="20" t="s">
        <v>38</v>
      </c>
      <c r="M143" s="20">
        <v>1.25</v>
      </c>
      <c r="N143" s="20">
        <v>61.5</v>
      </c>
      <c r="O143" s="20">
        <v>41.5</v>
      </c>
      <c r="P143" s="20">
        <v>110.4</v>
      </c>
      <c r="Q143" s="8">
        <v>12486522</v>
      </c>
      <c r="R143" s="8">
        <v>10000000</v>
      </c>
      <c r="S143" s="8">
        <v>-360059</v>
      </c>
      <c r="T143" s="20">
        <v>76</v>
      </c>
      <c r="U143" s="20">
        <v>146</v>
      </c>
      <c r="V143" s="20"/>
      <c r="W143" s="8">
        <v>22083</v>
      </c>
      <c r="X143" s="20" t="s">
        <v>72</v>
      </c>
      <c r="Y143" s="20" t="s">
        <v>73</v>
      </c>
      <c r="Z143" s="20" t="s">
        <v>74</v>
      </c>
      <c r="AA143" s="20" t="s">
        <v>42</v>
      </c>
      <c r="AB143" s="1"/>
      <c r="AC143" s="8">
        <v>51819.066299999999</v>
      </c>
      <c r="AD143" s="8">
        <v>225816.08908747431</v>
      </c>
      <c r="AE143" s="8">
        <v>225816.08908747431</v>
      </c>
      <c r="AF143" s="8">
        <f>VALUE(SUBSTITUTE(LEFT(Z143, FIND(" ", Z143) - 1), ",", ""))</f>
        <v>298356</v>
      </c>
      <c r="AG143" s="15">
        <f ca="1">(AF143/YEARFRAC(A143,TODAY())/P143)</f>
        <v>616.14946168461051</v>
      </c>
      <c r="AI143" s="8">
        <f>VALUE(SUBSTITUTE(LEFT(X143, FIND(" ", X143) - 1), ",", ""))</f>
        <v>298488</v>
      </c>
      <c r="AK143" s="20" t="str">
        <f>IF(AI143&gt;AC143, "YES","")</f>
        <v>YES</v>
      </c>
    </row>
    <row r="144" spans="1:37" x14ac:dyDescent="0.25">
      <c r="A144" s="5">
        <v>45386</v>
      </c>
      <c r="B144" s="20" t="s">
        <v>35</v>
      </c>
      <c r="C144" s="20">
        <v>40</v>
      </c>
      <c r="D144" s="20" t="s">
        <v>43</v>
      </c>
      <c r="E144" s="20" t="s">
        <v>33</v>
      </c>
      <c r="F144" s="20" t="s">
        <v>34</v>
      </c>
      <c r="G144" s="20" t="s">
        <v>44</v>
      </c>
      <c r="H144" s="20">
        <v>40</v>
      </c>
      <c r="I144" s="20" t="s">
        <v>43</v>
      </c>
      <c r="J144" s="20" t="s">
        <v>33</v>
      </c>
      <c r="K144" s="20" t="s">
        <v>37</v>
      </c>
      <c r="L144" s="20" t="s">
        <v>38</v>
      </c>
      <c r="M144" s="20">
        <v>0.17</v>
      </c>
      <c r="N144" s="20">
        <v>18.399999999999999</v>
      </c>
      <c r="O144" s="20">
        <v>169.4</v>
      </c>
      <c r="P144" s="20">
        <v>44.4</v>
      </c>
      <c r="Q144" s="8">
        <v>37556078</v>
      </c>
      <c r="R144" s="8">
        <v>215000000</v>
      </c>
      <c r="S144" s="8">
        <v>-1556251</v>
      </c>
      <c r="T144" s="20">
        <v>305</v>
      </c>
      <c r="U144" s="20">
        <v>50</v>
      </c>
      <c r="V144" s="20"/>
      <c r="W144" s="8">
        <v>-801738</v>
      </c>
      <c r="X144" s="20" t="s">
        <v>1042</v>
      </c>
      <c r="Y144" s="20" t="s">
        <v>1043</v>
      </c>
      <c r="Z144" s="20" t="s">
        <v>1044</v>
      </c>
      <c r="AA144" s="20"/>
      <c r="AB144" s="1"/>
      <c r="AC144" s="8">
        <v>636199.96132</v>
      </c>
      <c r="AD144" s="8">
        <v>331998.11706776172</v>
      </c>
      <c r="AE144" s="8">
        <v>225910.27848601059</v>
      </c>
      <c r="AF144" s="8">
        <f>VALUE(SUBSTITUTE(LEFT(Z144, FIND(" ", Z144) - 1), ",", ""))</f>
        <v>65674</v>
      </c>
      <c r="AG144" s="15">
        <f ca="1">(AF144/YEARFRAC(A144,TODAY())/P144)</f>
        <v>880.15188742461464</v>
      </c>
      <c r="AI144" s="8">
        <f>VALUE(SUBSTITUTE(LEFT(X144, FIND(" ", X144) - 1), ",", ""))</f>
        <v>1383580</v>
      </c>
      <c r="AK144" s="20" t="str">
        <f>IF(AI144&gt;AC144, "YES","")</f>
        <v>YES</v>
      </c>
    </row>
    <row r="145" spans="1:37" x14ac:dyDescent="0.25">
      <c r="A145" s="5">
        <v>45623</v>
      </c>
      <c r="B145" s="20" t="s">
        <v>58</v>
      </c>
      <c r="C145" s="20">
        <v>43</v>
      </c>
      <c r="D145" s="20" t="s">
        <v>68</v>
      </c>
      <c r="E145" s="20" t="s">
        <v>33</v>
      </c>
      <c r="F145" s="20" t="s">
        <v>37</v>
      </c>
      <c r="G145" s="20" t="s">
        <v>44</v>
      </c>
      <c r="H145" s="20">
        <v>42</v>
      </c>
      <c r="I145" s="20" t="s">
        <v>50</v>
      </c>
      <c r="J145" s="20" t="s">
        <v>33</v>
      </c>
      <c r="K145" s="20" t="s">
        <v>34</v>
      </c>
      <c r="L145" s="20" t="s">
        <v>38</v>
      </c>
      <c r="M145" s="20">
        <v>0.46</v>
      </c>
      <c r="N145" s="20">
        <v>157.1</v>
      </c>
      <c r="O145" s="20">
        <v>182.5</v>
      </c>
      <c r="P145" s="20">
        <v>66.400000000000006</v>
      </c>
      <c r="Q145" s="8">
        <v>4558711</v>
      </c>
      <c r="R145" s="8">
        <v>10000000</v>
      </c>
      <c r="S145" s="8">
        <v>-832610</v>
      </c>
      <c r="T145" s="20">
        <v>357</v>
      </c>
      <c r="U145" s="20">
        <v>210</v>
      </c>
      <c r="V145" s="20"/>
      <c r="W145" s="8">
        <v>265429</v>
      </c>
      <c r="X145" s="20" t="s">
        <v>900</v>
      </c>
      <c r="Y145" s="20" t="s">
        <v>901</v>
      </c>
      <c r="Z145" s="20" t="s">
        <v>902</v>
      </c>
      <c r="AA145" s="20" t="s">
        <v>903</v>
      </c>
      <c r="AB145" s="1"/>
      <c r="AC145" s="8">
        <v>83196.475749999998</v>
      </c>
      <c r="AD145" s="8">
        <v>239213.35520246389</v>
      </c>
      <c r="AE145" s="8">
        <v>239213.35520246389</v>
      </c>
      <c r="AF145" s="8">
        <f>VALUE(SUBSTITUTE(LEFT(Z145, FIND(" ", Z145) - 1), ",", ""))</f>
        <v>193073</v>
      </c>
      <c r="AG145" s="15">
        <f ca="1">(AF145/YEARFRAC(A145,TODAY())/P145)</f>
        <v>2813.9282938204424</v>
      </c>
      <c r="AI145" s="8">
        <f>VALUE(SUBSTITUTE(LEFT(X145, FIND(" ", X145) - 1), ",", ""))</f>
        <v>546024</v>
      </c>
      <c r="AK145" s="20" t="str">
        <f>IF(AI145&gt;AC145, "YES","")</f>
        <v>YES</v>
      </c>
    </row>
    <row r="146" spans="1:37" x14ac:dyDescent="0.25">
      <c r="A146" s="17">
        <v>45667</v>
      </c>
      <c r="B146" s="12" t="s">
        <v>58</v>
      </c>
      <c r="C146" s="12">
        <v>43</v>
      </c>
      <c r="D146" s="12" t="s">
        <v>68</v>
      </c>
      <c r="E146" s="12" t="s">
        <v>33</v>
      </c>
      <c r="F146" s="12" t="s">
        <v>34</v>
      </c>
      <c r="G146" s="12" t="s">
        <v>58</v>
      </c>
      <c r="H146" s="12">
        <v>41</v>
      </c>
      <c r="I146" s="12" t="s">
        <v>36</v>
      </c>
      <c r="J146" s="12" t="s">
        <v>33</v>
      </c>
      <c r="K146" s="12" t="s">
        <v>37</v>
      </c>
      <c r="L146" s="12" t="s">
        <v>38</v>
      </c>
      <c r="M146" s="12">
        <v>0.15</v>
      </c>
      <c r="N146" s="12">
        <v>163.19999999999999</v>
      </c>
      <c r="O146" s="12">
        <v>278.2</v>
      </c>
      <c r="P146" s="12">
        <v>151.9</v>
      </c>
      <c r="Q146" s="16">
        <v>2300000</v>
      </c>
      <c r="R146" s="16">
        <v>15000000</v>
      </c>
      <c r="S146" s="16">
        <v>-2128283</v>
      </c>
      <c r="T146" s="12">
        <v>395</v>
      </c>
      <c r="U146" s="12">
        <v>34</v>
      </c>
      <c r="V146" s="12"/>
      <c r="W146" s="16">
        <v>-1853632</v>
      </c>
      <c r="X146" s="12" t="s">
        <v>1103</v>
      </c>
      <c r="Y146" s="12" t="s">
        <v>1104</v>
      </c>
      <c r="Z146" s="12" t="s">
        <v>1105</v>
      </c>
      <c r="AA146" s="12" t="s">
        <v>1106</v>
      </c>
      <c r="AB146" s="1"/>
      <c r="AC146" s="8">
        <v>63985.999999999993</v>
      </c>
      <c r="AD146" s="8">
        <v>247896.6461327858</v>
      </c>
      <c r="AE146" s="8">
        <v>247896.6461327858</v>
      </c>
      <c r="AF146" s="8">
        <f>VALUE(SUBSTITUTE(LEFT(Z146, FIND(" ", Z146) - 1), ",", ""))</f>
        <v>118289</v>
      </c>
      <c r="AG146" s="15">
        <f ca="1">(AF146/YEARFRAC(A146,TODAY())/P146)</f>
        <v>852.10514836388518</v>
      </c>
      <c r="AI146" s="8">
        <f>VALUE(SUBSTITUTE(LEFT(X146, FIND(" ", X146) - 1), ",", ""))</f>
        <v>135817</v>
      </c>
      <c r="AK146" s="20" t="str">
        <f>IF(AI146&gt;AC146, "YES","")</f>
        <v>YES</v>
      </c>
    </row>
    <row r="147" spans="1:37" x14ac:dyDescent="0.25">
      <c r="A147" s="5">
        <v>45398</v>
      </c>
      <c r="B147" s="1" t="s">
        <v>58</v>
      </c>
      <c r="C147" s="1">
        <v>41</v>
      </c>
      <c r="D147" s="1" t="s">
        <v>284</v>
      </c>
      <c r="E147" s="1" t="s">
        <v>33</v>
      </c>
      <c r="F147" s="1" t="s">
        <v>34</v>
      </c>
      <c r="G147" s="1" t="s">
        <v>58</v>
      </c>
      <c r="H147" s="1">
        <v>39</v>
      </c>
      <c r="I147" s="1" t="s">
        <v>36</v>
      </c>
      <c r="J147" s="1" t="s">
        <v>33</v>
      </c>
      <c r="K147" s="1" t="s">
        <v>37</v>
      </c>
      <c r="L147" s="1" t="s">
        <v>38</v>
      </c>
      <c r="M147" s="1">
        <v>0.28000000000000003</v>
      </c>
      <c r="N147" s="1">
        <v>106.7</v>
      </c>
      <c r="O147" s="1">
        <v>180.5</v>
      </c>
      <c r="P147" s="1">
        <v>77.8</v>
      </c>
      <c r="Q147" s="8">
        <v>4196179</v>
      </c>
      <c r="R147" s="8">
        <v>15000000</v>
      </c>
      <c r="S147" s="8">
        <v>-1477472</v>
      </c>
      <c r="T147" s="1">
        <v>197</v>
      </c>
      <c r="U147" s="1">
        <v>25</v>
      </c>
      <c r="V147" s="1"/>
      <c r="W147" s="8">
        <v>-1477472</v>
      </c>
      <c r="X147" s="1" t="s">
        <v>430</v>
      </c>
      <c r="Y147" s="1" t="s">
        <v>431</v>
      </c>
      <c r="Z147" s="1" t="s">
        <v>432</v>
      </c>
      <c r="AA147" s="1" t="s">
        <v>433</v>
      </c>
      <c r="AB147" s="1"/>
      <c r="AC147" s="8">
        <v>75741.03095</v>
      </c>
      <c r="AD147" s="8">
        <v>248902.16905325119</v>
      </c>
      <c r="AE147" s="8">
        <v>248902.16905325119</v>
      </c>
      <c r="AF147" s="8">
        <f>VALUE(SUBSTITUTE(LEFT(Z147, FIND(" ", Z147) - 1), ",", ""))</f>
        <v>161322</v>
      </c>
      <c r="AG147" s="15">
        <f ca="1">(AF147/YEARFRAC(A147,TODAY())/P147)</f>
        <v>1258.814706277609</v>
      </c>
      <c r="AI147" s="8">
        <f>VALUE(SUBSTITUTE(LEFT(X147, FIND(" ", X147) - 1), ",", ""))</f>
        <v>208944</v>
      </c>
      <c r="AK147" s="20" t="str">
        <f>IF(AI147&gt;AC147, "YES","")</f>
        <v>YES</v>
      </c>
    </row>
    <row r="148" spans="1:37" x14ac:dyDescent="0.25">
      <c r="A148" s="5">
        <v>45398</v>
      </c>
      <c r="B148" s="20" t="s">
        <v>35</v>
      </c>
      <c r="C148" s="20">
        <v>40</v>
      </c>
      <c r="D148" s="20" t="s">
        <v>36</v>
      </c>
      <c r="E148" s="20" t="s">
        <v>33</v>
      </c>
      <c r="F148" s="20" t="s">
        <v>37</v>
      </c>
      <c r="G148" s="20" t="s">
        <v>35</v>
      </c>
      <c r="H148" s="20">
        <v>39</v>
      </c>
      <c r="I148" s="20" t="s">
        <v>43</v>
      </c>
      <c r="J148" s="20" t="s">
        <v>33</v>
      </c>
      <c r="K148" s="20" t="s">
        <v>34</v>
      </c>
      <c r="L148" s="20" t="s">
        <v>38</v>
      </c>
      <c r="M148" s="20">
        <v>0.74</v>
      </c>
      <c r="N148" s="20">
        <v>310.10000000000002</v>
      </c>
      <c r="O148" s="20">
        <v>46.4</v>
      </c>
      <c r="P148" s="20">
        <v>91.7</v>
      </c>
      <c r="Q148" s="8">
        <v>18511401</v>
      </c>
      <c r="R148" s="8">
        <v>25000000</v>
      </c>
      <c r="S148" s="8">
        <v>-1258174</v>
      </c>
      <c r="T148" s="20">
        <v>89</v>
      </c>
      <c r="U148" s="20">
        <v>287</v>
      </c>
      <c r="V148" s="20"/>
      <c r="W148" s="8">
        <v>-1047856</v>
      </c>
      <c r="X148" s="20" t="s">
        <v>422</v>
      </c>
      <c r="Y148" s="20" t="s">
        <v>423</v>
      </c>
      <c r="Z148" s="20" t="s">
        <v>424</v>
      </c>
      <c r="AA148" s="20" t="s">
        <v>425</v>
      </c>
      <c r="AB148" s="1"/>
      <c r="AC148" s="8">
        <v>85892.900640000007</v>
      </c>
      <c r="AD148" s="8">
        <v>2226816.535660232</v>
      </c>
      <c r="AE148" s="8">
        <v>251797.92040728239</v>
      </c>
      <c r="AF148" s="8">
        <f>VALUE(SUBSTITUTE(LEFT(Z148, FIND(" ", Z148) - 1), ",", ""))</f>
        <v>1792047</v>
      </c>
      <c r="AG148" s="15">
        <f ca="1">(AF148/YEARFRAC(A148,TODAY())/P148)</f>
        <v>11863.910655208623</v>
      </c>
      <c r="AI148" s="8">
        <f>VALUE(SUBSTITUTE(LEFT(X148, FIND(" ", X148) - 1), ",", ""))</f>
        <v>1816360</v>
      </c>
      <c r="AK148" s="20" t="str">
        <f>IF(AI148&gt;AC148, "YES","")</f>
        <v>YES</v>
      </c>
    </row>
    <row r="149" spans="1:37" x14ac:dyDescent="0.25">
      <c r="A149" s="5">
        <v>45623</v>
      </c>
      <c r="B149" s="1" t="s">
        <v>58</v>
      </c>
      <c r="C149" s="1">
        <v>43</v>
      </c>
      <c r="D149" s="1" t="s">
        <v>68</v>
      </c>
      <c r="E149" s="1" t="s">
        <v>33</v>
      </c>
      <c r="F149" s="1" t="s">
        <v>37</v>
      </c>
      <c r="G149" s="1" t="s">
        <v>35</v>
      </c>
      <c r="H149" s="1">
        <v>42</v>
      </c>
      <c r="I149" s="1" t="s">
        <v>82</v>
      </c>
      <c r="J149" s="1" t="s">
        <v>33</v>
      </c>
      <c r="K149" s="1" t="s">
        <v>34</v>
      </c>
      <c r="L149" s="1" t="s">
        <v>38</v>
      </c>
      <c r="M149" s="1">
        <v>1.3</v>
      </c>
      <c r="N149" s="1">
        <v>124.5</v>
      </c>
      <c r="O149" s="1">
        <v>196.4</v>
      </c>
      <c r="P149" s="1">
        <v>44.4</v>
      </c>
      <c r="Q149" s="8">
        <v>5000000</v>
      </c>
      <c r="R149" s="8">
        <v>3845403</v>
      </c>
      <c r="S149" s="8">
        <v>-481177</v>
      </c>
      <c r="T149" s="1">
        <v>357</v>
      </c>
      <c r="U149" s="1">
        <v>594</v>
      </c>
      <c r="V149" s="1"/>
      <c r="W149" s="8">
        <v>443609</v>
      </c>
      <c r="X149" s="1" t="s">
        <v>908</v>
      </c>
      <c r="Y149" s="1" t="s">
        <v>909</v>
      </c>
      <c r="Z149" s="1" t="s">
        <v>910</v>
      </c>
      <c r="AA149" s="1" t="s">
        <v>42</v>
      </c>
      <c r="AB149" s="1"/>
      <c r="AC149" s="8">
        <v>98200</v>
      </c>
      <c r="AD149" s="8">
        <v>252693.82267433271</v>
      </c>
      <c r="AE149" s="8">
        <v>252693.82267433271</v>
      </c>
      <c r="AF149" s="8">
        <f>VALUE(SUBSTITUTE(LEFT(Z149, FIND(" ", Z149) - 1), ",", ""))</f>
        <v>309491</v>
      </c>
      <c r="AG149" s="15">
        <f ca="1">(AF149/YEARFRAC(A149,TODAY())/P149)</f>
        <v>6745.6625980819526</v>
      </c>
      <c r="AI149" s="8">
        <f>VALUE(SUBSTITUTE(LEFT(X149, FIND(" ", X149) - 1), ",", ""))</f>
        <v>504136</v>
      </c>
      <c r="AK149" s="20" t="str">
        <f>IF(AI149&gt;AC149, "YES","")</f>
        <v>YES</v>
      </c>
    </row>
    <row r="150" spans="1:37" x14ac:dyDescent="0.25">
      <c r="A150" s="5">
        <v>45401</v>
      </c>
      <c r="B150" s="1" t="s">
        <v>35</v>
      </c>
      <c r="C150" s="1">
        <v>40</v>
      </c>
      <c r="D150" s="1" t="s">
        <v>43</v>
      </c>
      <c r="E150" s="1" t="s">
        <v>33</v>
      </c>
      <c r="F150" s="1" t="s">
        <v>34</v>
      </c>
      <c r="G150" s="1" t="s">
        <v>44</v>
      </c>
      <c r="H150" s="1">
        <v>40</v>
      </c>
      <c r="I150" s="1" t="s">
        <v>43</v>
      </c>
      <c r="J150" s="1" t="s">
        <v>33</v>
      </c>
      <c r="K150" s="1" t="s">
        <v>37</v>
      </c>
      <c r="L150" s="1" t="s">
        <v>38</v>
      </c>
      <c r="M150" s="1">
        <v>0.17</v>
      </c>
      <c r="N150" s="1">
        <v>17.2</v>
      </c>
      <c r="O150" s="1">
        <v>151.80000000000001</v>
      </c>
      <c r="P150" s="1">
        <v>53.7</v>
      </c>
      <c r="Q150" s="8">
        <v>37561358</v>
      </c>
      <c r="R150" s="8">
        <v>215000000</v>
      </c>
      <c r="S150" s="8">
        <v>-1458716</v>
      </c>
      <c r="T150" s="1">
        <v>341</v>
      </c>
      <c r="U150" s="1">
        <v>56</v>
      </c>
      <c r="V150" s="1"/>
      <c r="W150" s="8">
        <v>-295552</v>
      </c>
      <c r="X150" s="1" t="s">
        <v>692</v>
      </c>
      <c r="Y150" s="1" t="s">
        <v>693</v>
      </c>
      <c r="Z150" s="1" t="s">
        <v>694</v>
      </c>
      <c r="AA150" s="1"/>
      <c r="AB150" s="1"/>
      <c r="AC150" s="8">
        <v>570181.41444000008</v>
      </c>
      <c r="AD150" s="8">
        <v>358913.01055934193</v>
      </c>
      <c r="AE150" s="8">
        <v>252782.8899980858</v>
      </c>
      <c r="AF150" s="8">
        <f>VALUE(SUBSTITUTE(LEFT(Z150, FIND(" ", Z150) - 1), ",", ""))</f>
        <v>162108</v>
      </c>
      <c r="AG150" s="15">
        <f ca="1">(AF150/YEARFRAC(A150,TODAY())/P150)</f>
        <v>1841.9619354227821</v>
      </c>
      <c r="AI150" s="8">
        <f>VALUE(SUBSTITUTE(LEFT(X150, FIND(" ", X150) - 1), ",", ""))</f>
        <v>1456175</v>
      </c>
      <c r="AK150" s="20" t="str">
        <f>IF(AI150&gt;AC150, "YES","")</f>
        <v>YES</v>
      </c>
    </row>
    <row r="151" spans="1:37" x14ac:dyDescent="0.25">
      <c r="A151" s="5">
        <v>45623</v>
      </c>
      <c r="B151" s="1" t="s">
        <v>35</v>
      </c>
      <c r="C151" s="1">
        <v>42</v>
      </c>
      <c r="D151" s="1" t="s">
        <v>82</v>
      </c>
      <c r="E151" s="1" t="s">
        <v>33</v>
      </c>
      <c r="F151" s="1" t="s">
        <v>34</v>
      </c>
      <c r="G151" s="1" t="s">
        <v>58</v>
      </c>
      <c r="H151" s="1">
        <v>41</v>
      </c>
      <c r="I151" s="1" t="s">
        <v>68</v>
      </c>
      <c r="J151" s="1" t="s">
        <v>33</v>
      </c>
      <c r="K151" s="1" t="s">
        <v>37</v>
      </c>
      <c r="L151" s="1" t="s">
        <v>38</v>
      </c>
      <c r="M151" s="1">
        <v>0.51</v>
      </c>
      <c r="N151" s="1">
        <v>99.6</v>
      </c>
      <c r="O151" s="1">
        <v>293</v>
      </c>
      <c r="P151" s="1">
        <v>89</v>
      </c>
      <c r="Q151" s="8">
        <v>2544150</v>
      </c>
      <c r="R151" s="8">
        <v>5000000</v>
      </c>
      <c r="S151" s="8">
        <v>-530234</v>
      </c>
      <c r="T151" s="1">
        <v>594</v>
      </c>
      <c r="U151" s="1">
        <v>252</v>
      </c>
      <c r="V151" s="1"/>
      <c r="W151" s="8">
        <v>81611</v>
      </c>
      <c r="X151" s="1" t="s">
        <v>896</v>
      </c>
      <c r="Y151" s="1" t="s">
        <v>897</v>
      </c>
      <c r="Z151" s="1" t="s">
        <v>898</v>
      </c>
      <c r="AA151" s="1" t="s">
        <v>899</v>
      </c>
      <c r="AB151" s="1"/>
      <c r="AC151" s="8">
        <v>74543.595000000001</v>
      </c>
      <c r="AD151" s="8">
        <v>253091.09100616019</v>
      </c>
      <c r="AE151" s="8">
        <v>253091.09100616019</v>
      </c>
      <c r="AF151" s="8">
        <f>VALUE(SUBSTITUTE(LEFT(Z151, FIND(" ", Z151) - 1), ",", ""))</f>
        <v>221223</v>
      </c>
      <c r="AG151" s="15">
        <f ca="1">(AF151/YEARFRAC(A151,TODAY())/P151)</f>
        <v>2405.4693729612177</v>
      </c>
      <c r="AI151" s="8">
        <f>VALUE(SUBSTITUTE(LEFT(X151, FIND(" ", X151) - 1), ",", ""))</f>
        <v>771383</v>
      </c>
      <c r="AK151" s="20" t="str">
        <f>IF(AI151&gt;AC151, "YES","")</f>
        <v>YES</v>
      </c>
    </row>
    <row r="152" spans="1:37" x14ac:dyDescent="0.25">
      <c r="A152" s="5">
        <v>45468</v>
      </c>
      <c r="B152" s="1" t="s">
        <v>58</v>
      </c>
      <c r="C152" s="1">
        <v>41</v>
      </c>
      <c r="D152" s="1" t="s">
        <v>284</v>
      </c>
      <c r="E152" s="1" t="s">
        <v>33</v>
      </c>
      <c r="F152" s="1" t="s">
        <v>37</v>
      </c>
      <c r="G152" s="1" t="s">
        <v>35</v>
      </c>
      <c r="H152" s="1">
        <v>40</v>
      </c>
      <c r="I152" s="1" t="s">
        <v>82</v>
      </c>
      <c r="J152" s="1" t="s">
        <v>33</v>
      </c>
      <c r="K152" s="1" t="s">
        <v>34</v>
      </c>
      <c r="L152" s="1" t="s">
        <v>38</v>
      </c>
      <c r="M152" s="1">
        <v>2.4</v>
      </c>
      <c r="N152" s="1">
        <v>127.7</v>
      </c>
      <c r="O152" s="1">
        <v>191.8</v>
      </c>
      <c r="P152" s="1">
        <v>45.3</v>
      </c>
      <c r="Q152" s="8">
        <v>5000000</v>
      </c>
      <c r="R152" s="8">
        <v>2085166</v>
      </c>
      <c r="S152" s="8">
        <v>-759985</v>
      </c>
      <c r="T152" s="1">
        <v>159</v>
      </c>
      <c r="U152" s="1">
        <v>658</v>
      </c>
      <c r="V152" s="1"/>
      <c r="W152" s="8">
        <v>-372477</v>
      </c>
      <c r="X152" s="1" t="s">
        <v>457</v>
      </c>
      <c r="Y152" s="1" t="s">
        <v>458</v>
      </c>
      <c r="Z152" s="1" t="s">
        <v>459</v>
      </c>
      <c r="AA152" s="1" t="s">
        <v>42</v>
      </c>
      <c r="AB152" s="1"/>
      <c r="AC152" s="8">
        <v>95900.000000000015</v>
      </c>
      <c r="AD152" s="8">
        <v>258936.97322162901</v>
      </c>
      <c r="AE152" s="8">
        <v>258936.97322162901</v>
      </c>
      <c r="AF152" s="8">
        <f>VALUE(SUBSTITUTE(LEFT(Z152, FIND(" ", Z152) - 1), ",", ""))</f>
        <v>269814</v>
      </c>
      <c r="AG152" s="15">
        <f ca="1">(AF152/YEARFRAC(A152,TODAY())/P152)</f>
        <v>4092.0175926394022</v>
      </c>
      <c r="AI152" s="8">
        <f>VALUE(SUBSTITUTE(LEFT(X152, FIND(" ", X152) - 1), ",", ""))</f>
        <v>290552</v>
      </c>
      <c r="AK152" s="20" t="str">
        <f>IF(AI152&gt;AC152, "YES","")</f>
        <v>YES</v>
      </c>
    </row>
    <row r="153" spans="1:37" x14ac:dyDescent="0.25">
      <c r="A153" s="5">
        <v>45496</v>
      </c>
      <c r="B153" s="1" t="s">
        <v>58</v>
      </c>
      <c r="C153" s="1">
        <v>41</v>
      </c>
      <c r="D153" s="1" t="s">
        <v>68</v>
      </c>
      <c r="E153" s="1" t="s">
        <v>33</v>
      </c>
      <c r="F153" s="1" t="s">
        <v>37</v>
      </c>
      <c r="G153" s="1" t="s">
        <v>35</v>
      </c>
      <c r="H153" s="1">
        <v>40</v>
      </c>
      <c r="I153" s="1" t="s">
        <v>82</v>
      </c>
      <c r="J153" s="1" t="s">
        <v>33</v>
      </c>
      <c r="K153" s="1" t="s">
        <v>34</v>
      </c>
      <c r="L153" s="1" t="s">
        <v>38</v>
      </c>
      <c r="M153" s="1">
        <v>1.18</v>
      </c>
      <c r="N153" s="1">
        <v>139.30000000000001</v>
      </c>
      <c r="O153" s="1">
        <v>126.5</v>
      </c>
      <c r="P153" s="1">
        <v>60.9</v>
      </c>
      <c r="Q153" s="8">
        <v>5000000</v>
      </c>
      <c r="R153" s="8">
        <v>4221769</v>
      </c>
      <c r="S153" s="8">
        <v>-366354</v>
      </c>
      <c r="T153" s="1">
        <v>361</v>
      </c>
      <c r="U153" s="1">
        <v>568</v>
      </c>
      <c r="V153" s="1"/>
      <c r="W153" s="8">
        <v>135073</v>
      </c>
      <c r="X153" s="1" t="s">
        <v>783</v>
      </c>
      <c r="Y153" s="1" t="s">
        <v>784</v>
      </c>
      <c r="Z153" s="1" t="s">
        <v>785</v>
      </c>
      <c r="AA153" s="1" t="s">
        <v>786</v>
      </c>
      <c r="AB153" s="1"/>
      <c r="AC153" s="8">
        <v>63250</v>
      </c>
      <c r="AD153" s="8">
        <v>261537.65363778241</v>
      </c>
      <c r="AE153" s="8">
        <v>261537.65363778241</v>
      </c>
      <c r="AF153" s="8">
        <f>VALUE(SUBSTITUTE(LEFT(Z153, FIND(" ", Z153) - 1), ",", ""))</f>
        <v>254210</v>
      </c>
      <c r="AG153" s="15">
        <f ca="1">(AF153/YEARFRAC(A153,TODAY())/P153)</f>
        <v>3029.675830287621</v>
      </c>
      <c r="AI153" s="8">
        <f>VALUE(SUBSTITUTE(LEFT(X153, FIND(" ", X153) - 1), ",", ""))</f>
        <v>287172</v>
      </c>
      <c r="AK153" s="20" t="str">
        <f>IF(AI153&gt;AC153, "YES","")</f>
        <v>YES</v>
      </c>
    </row>
    <row r="154" spans="1:37" x14ac:dyDescent="0.25">
      <c r="A154" s="5">
        <v>44749</v>
      </c>
      <c r="B154" s="20" t="s">
        <v>57</v>
      </c>
      <c r="C154" s="20">
        <v>36</v>
      </c>
      <c r="D154" s="20" t="s">
        <v>43</v>
      </c>
      <c r="E154" s="20" t="s">
        <v>33</v>
      </c>
      <c r="F154" s="20" t="s">
        <v>37</v>
      </c>
      <c r="G154" s="20" t="s">
        <v>31</v>
      </c>
      <c r="H154" s="20">
        <v>35</v>
      </c>
      <c r="I154" s="20" t="s">
        <v>142</v>
      </c>
      <c r="J154" s="20" t="s">
        <v>33</v>
      </c>
      <c r="K154" s="20" t="s">
        <v>34</v>
      </c>
      <c r="L154" s="20" t="s">
        <v>38</v>
      </c>
      <c r="M154" s="20">
        <v>0.23</v>
      </c>
      <c r="N154" s="20">
        <v>207.9</v>
      </c>
      <c r="O154" s="20">
        <v>189.8</v>
      </c>
      <c r="P154" s="20">
        <v>143.6</v>
      </c>
      <c r="Q154" s="8">
        <v>3504711</v>
      </c>
      <c r="R154" s="8">
        <v>15000000</v>
      </c>
      <c r="S154" s="8">
        <v>-393263</v>
      </c>
      <c r="T154" s="20">
        <v>232</v>
      </c>
      <c r="U154" s="20">
        <v>97</v>
      </c>
      <c r="V154" s="20"/>
      <c r="W154" s="8">
        <v>-157786</v>
      </c>
      <c r="X154" s="20" t="s">
        <v>200</v>
      </c>
      <c r="Y154" s="20" t="s">
        <v>201</v>
      </c>
      <c r="Z154" s="20" t="s">
        <v>202</v>
      </c>
      <c r="AA154" s="20" t="s">
        <v>42</v>
      </c>
      <c r="AB154" s="1"/>
      <c r="AC154" s="8">
        <v>66519.414780000006</v>
      </c>
      <c r="AD154" s="8">
        <v>140536.0074184805</v>
      </c>
      <c r="AE154" s="8">
        <v>273992.65109449049</v>
      </c>
      <c r="AF154" s="8">
        <f>VALUE(SUBSTITUTE(LEFT(Z154, FIND(" ", Z154) - 1), ",", ""))</f>
        <v>264678</v>
      </c>
      <c r="AG154" s="15">
        <f ca="1">(AF154/YEARFRAC(A154,TODAY())/P154)</f>
        <v>538.58617009731222</v>
      </c>
      <c r="AI154" s="8">
        <f>VALUE(SUBSTITUTE(LEFT(X154, FIND(" ", X154) - 1), ",", ""))</f>
        <v>265209</v>
      </c>
      <c r="AK154" s="20" t="str">
        <f>IF(AI154&gt;AC154, "YES","")</f>
        <v>YES</v>
      </c>
    </row>
    <row r="155" spans="1:37" x14ac:dyDescent="0.25">
      <c r="A155" s="5">
        <v>45511</v>
      </c>
      <c r="B155" s="1" t="s">
        <v>58</v>
      </c>
      <c r="C155" s="1">
        <v>41</v>
      </c>
      <c r="D155" s="1" t="s">
        <v>68</v>
      </c>
      <c r="E155" s="1" t="s">
        <v>33</v>
      </c>
      <c r="F155" s="1" t="s">
        <v>34</v>
      </c>
      <c r="G155" s="1" t="s">
        <v>35</v>
      </c>
      <c r="H155" s="1">
        <v>40</v>
      </c>
      <c r="I155" s="1" t="s">
        <v>49</v>
      </c>
      <c r="J155" s="1" t="s">
        <v>33</v>
      </c>
      <c r="K155" s="1" t="s">
        <v>37</v>
      </c>
      <c r="L155" s="1" t="s">
        <v>38</v>
      </c>
      <c r="M155" s="1">
        <v>0.7</v>
      </c>
      <c r="N155" s="1">
        <v>131.1</v>
      </c>
      <c r="O155" s="1">
        <v>114.1</v>
      </c>
      <c r="P155" s="1">
        <v>189.3</v>
      </c>
      <c r="Q155" s="8">
        <v>5000000</v>
      </c>
      <c r="R155" s="8">
        <v>7162477</v>
      </c>
      <c r="S155" s="8">
        <v>-712392</v>
      </c>
      <c r="T155" s="1">
        <v>473</v>
      </c>
      <c r="U155" s="1">
        <v>241</v>
      </c>
      <c r="V155" s="1"/>
      <c r="W155" s="8">
        <v>-561334</v>
      </c>
      <c r="X155" s="1" t="s">
        <v>816</v>
      </c>
      <c r="Y155" s="1" t="s">
        <v>817</v>
      </c>
      <c r="Z155" s="1" t="s">
        <v>818</v>
      </c>
      <c r="AA155" s="1" t="s">
        <v>819</v>
      </c>
      <c r="AB155" s="1"/>
      <c r="AC155" s="8">
        <v>57050</v>
      </c>
      <c r="AD155" s="8">
        <v>279149.48572977411</v>
      </c>
      <c r="AE155" s="8">
        <v>279149.48572977411</v>
      </c>
      <c r="AF155" s="8">
        <f>VALUE(SUBSTITUTE(LEFT(Z155, FIND(" ", Z155) - 1), ",", ""))</f>
        <v>194561</v>
      </c>
      <c r="AG155" s="15">
        <f ca="1">(AF155/YEARFRAC(A155,TODAY())/P155)</f>
        <v>767.64537617297185</v>
      </c>
      <c r="AI155" s="8">
        <f>VALUE(SUBSTITUTE(LEFT(X155, FIND(" ", X155) - 1), ",", ""))</f>
        <v>420412</v>
      </c>
      <c r="AK155" s="20" t="str">
        <f>IF(AI155&gt;AC155, "YES","")</f>
        <v>YES</v>
      </c>
    </row>
    <row r="156" spans="1:37" x14ac:dyDescent="0.25">
      <c r="A156" s="5">
        <v>45754</v>
      </c>
      <c r="B156" s="20" t="s">
        <v>35</v>
      </c>
      <c r="C156" s="20">
        <v>42</v>
      </c>
      <c r="D156" s="20" t="s">
        <v>36</v>
      </c>
      <c r="E156" s="20" t="s">
        <v>33</v>
      </c>
      <c r="F156" s="20" t="s">
        <v>37</v>
      </c>
      <c r="G156" s="20" t="s">
        <v>31</v>
      </c>
      <c r="H156" s="20">
        <v>41</v>
      </c>
      <c r="I156" s="20" t="s">
        <v>32</v>
      </c>
      <c r="J156" s="20" t="s">
        <v>33</v>
      </c>
      <c r="K156" s="20" t="s">
        <v>34</v>
      </c>
      <c r="L156" s="20" t="s">
        <v>38</v>
      </c>
      <c r="M156" s="20">
        <v>0.72</v>
      </c>
      <c r="N156" s="20">
        <v>165.7</v>
      </c>
      <c r="O156" s="20">
        <v>91.9</v>
      </c>
      <c r="P156" s="20">
        <v>102.6</v>
      </c>
      <c r="Q156" s="8">
        <v>7183528</v>
      </c>
      <c r="R156" s="8">
        <v>10000000</v>
      </c>
      <c r="S156" s="8">
        <v>-1513534</v>
      </c>
      <c r="T156" s="20">
        <v>131</v>
      </c>
      <c r="U156" s="20">
        <v>196</v>
      </c>
      <c r="V156" s="20"/>
      <c r="W156" s="8">
        <v>-1408214</v>
      </c>
      <c r="X156" s="20" t="s">
        <v>587</v>
      </c>
      <c r="Y156" s="20" t="s">
        <v>588</v>
      </c>
      <c r="Z156" s="20" t="s">
        <v>589</v>
      </c>
      <c r="AA156" s="20" t="s">
        <v>590</v>
      </c>
      <c r="AB156" s="1"/>
      <c r="AC156" s="8">
        <v>66016.622319999995</v>
      </c>
      <c r="AD156" s="8">
        <v>283413.9782001368</v>
      </c>
      <c r="AE156" s="8">
        <v>283413.9782001368</v>
      </c>
      <c r="AF156" s="8">
        <f>VALUE(SUBSTITUTE(LEFT(Z156, FIND(" ", Z156) - 1), ",", ""))</f>
        <v>214187</v>
      </c>
      <c r="AG156" s="15">
        <f ca="1">(AF156/YEARFRAC(A156,TODAY())/P156)</f>
        <v>3105.5096418732783</v>
      </c>
      <c r="AI156" s="8">
        <f>VALUE(SUBSTITUTE(LEFT(X156, FIND(" ", X156) - 1), ",", ""))</f>
        <v>214187</v>
      </c>
      <c r="AK156" s="20" t="str">
        <f>IF(AI156&gt;AC156, "YES","")</f>
        <v>YES</v>
      </c>
    </row>
    <row r="157" spans="1:37" x14ac:dyDescent="0.25">
      <c r="A157" s="5">
        <v>45511</v>
      </c>
      <c r="B157" s="20" t="s">
        <v>58</v>
      </c>
      <c r="C157" s="20">
        <v>41</v>
      </c>
      <c r="D157" s="20" t="s">
        <v>284</v>
      </c>
      <c r="E157" s="20" t="s">
        <v>33</v>
      </c>
      <c r="F157" s="20" t="s">
        <v>34</v>
      </c>
      <c r="G157" s="20" t="s">
        <v>58</v>
      </c>
      <c r="H157" s="20">
        <v>39</v>
      </c>
      <c r="I157" s="20" t="s">
        <v>284</v>
      </c>
      <c r="J157" s="20" t="s">
        <v>33</v>
      </c>
      <c r="K157" s="20" t="s">
        <v>37</v>
      </c>
      <c r="L157" s="20" t="s">
        <v>38</v>
      </c>
      <c r="M157" s="20">
        <v>1.03</v>
      </c>
      <c r="N157" s="20">
        <v>116.6</v>
      </c>
      <c r="O157" s="20">
        <v>112.3</v>
      </c>
      <c r="P157" s="20">
        <v>124.4</v>
      </c>
      <c r="Q157" s="8">
        <v>5000000</v>
      </c>
      <c r="R157" s="8">
        <v>4839792</v>
      </c>
      <c r="S157" s="8">
        <v>29435</v>
      </c>
      <c r="T157" s="20">
        <v>188</v>
      </c>
      <c r="U157" s="20">
        <v>74</v>
      </c>
      <c r="V157" s="20"/>
      <c r="W157" s="8">
        <v>67800</v>
      </c>
      <c r="X157" s="20" t="s">
        <v>839</v>
      </c>
      <c r="Y157" s="20" t="s">
        <v>840</v>
      </c>
      <c r="Z157" s="20" t="s">
        <v>841</v>
      </c>
      <c r="AA157" s="20" t="s">
        <v>842</v>
      </c>
      <c r="AB157" s="1"/>
      <c r="AC157" s="8">
        <v>56150</v>
      </c>
      <c r="AD157" s="8">
        <v>290136.10736755643</v>
      </c>
      <c r="AE157" s="8">
        <v>290136.10736755643</v>
      </c>
      <c r="AF157" s="8">
        <f>VALUE(SUBSTITUTE(LEFT(Z157, FIND(" ", Z157) - 1), ",", ""))</f>
        <v>169365</v>
      </c>
      <c r="AG157" s="15">
        <f ca="1">(AF157/YEARFRAC(A157,TODAY())/P157)</f>
        <v>1016.854344838628</v>
      </c>
      <c r="AI157" s="8">
        <f>VALUE(SUBSTITUTE(LEFT(X157, FIND(" ", X157) - 1), ",", ""))</f>
        <v>226179</v>
      </c>
      <c r="AK157" s="20" t="str">
        <f>IF(AI157&gt;AC157, "YES","")</f>
        <v>YES</v>
      </c>
    </row>
    <row r="158" spans="1:37" x14ac:dyDescent="0.25">
      <c r="A158" s="5">
        <v>45512</v>
      </c>
      <c r="B158" s="1" t="s">
        <v>58</v>
      </c>
      <c r="C158" s="1">
        <v>39</v>
      </c>
      <c r="D158" s="1" t="s">
        <v>36</v>
      </c>
      <c r="E158" s="1" t="s">
        <v>33</v>
      </c>
      <c r="F158" s="1" t="s">
        <v>37</v>
      </c>
      <c r="G158" s="1" t="s">
        <v>58</v>
      </c>
      <c r="H158" s="1">
        <v>41</v>
      </c>
      <c r="I158" s="1" t="s">
        <v>284</v>
      </c>
      <c r="J158" s="1" t="s">
        <v>33</v>
      </c>
      <c r="K158" s="1" t="s">
        <v>34</v>
      </c>
      <c r="L158" s="1" t="s">
        <v>38</v>
      </c>
      <c r="M158" s="1">
        <v>2.87</v>
      </c>
      <c r="N158" s="1">
        <v>51.6</v>
      </c>
      <c r="O158" s="1">
        <v>51.9</v>
      </c>
      <c r="P158" s="1">
        <v>86.2</v>
      </c>
      <c r="Q158" s="8">
        <v>14345430</v>
      </c>
      <c r="R158" s="8">
        <v>5000000</v>
      </c>
      <c r="S158" s="8">
        <v>-1171889</v>
      </c>
      <c r="T158" s="1">
        <v>17</v>
      </c>
      <c r="U158" s="1">
        <v>177</v>
      </c>
      <c r="V158" s="1"/>
      <c r="W158" s="8">
        <v>-1171889</v>
      </c>
      <c r="X158" s="1" t="s">
        <v>496</v>
      </c>
      <c r="Y158" s="1" t="s">
        <v>497</v>
      </c>
      <c r="Z158" s="1" t="s">
        <v>498</v>
      </c>
      <c r="AA158" s="1" t="s">
        <v>42</v>
      </c>
      <c r="AB158" s="1"/>
      <c r="AC158" s="8">
        <v>74452.781700000007</v>
      </c>
      <c r="AD158" s="8">
        <v>304409.56358932238</v>
      </c>
      <c r="AE158" s="8">
        <v>304409.56358932238</v>
      </c>
      <c r="AF158" s="8">
        <f>VALUE(SUBSTITUTE(LEFT(Z158, FIND(" ", Z158) - 1), ",", ""))</f>
        <v>408038</v>
      </c>
      <c r="AG158" s="15">
        <f ca="1">(AF158/YEARFRAC(A158,TODAY())/P158)</f>
        <v>3542.8337135993747</v>
      </c>
      <c r="AI158" s="8">
        <f>VALUE(SUBSTITUTE(LEFT(X158, FIND(" ", X158) - 1), ",", ""))</f>
        <v>408236</v>
      </c>
      <c r="AK158" s="20" t="str">
        <f>IF(AI158&gt;AC158, "YES","")</f>
        <v>YES</v>
      </c>
    </row>
    <row r="159" spans="1:37" x14ac:dyDescent="0.25">
      <c r="A159" s="17">
        <v>45827</v>
      </c>
      <c r="B159" s="12" t="s">
        <v>58</v>
      </c>
      <c r="C159" s="12">
        <v>43</v>
      </c>
      <c r="D159" s="12" t="s">
        <v>43</v>
      </c>
      <c r="E159" s="12" t="s">
        <v>33</v>
      </c>
      <c r="F159" s="12" t="s">
        <v>34</v>
      </c>
      <c r="G159" s="12" t="s">
        <v>35</v>
      </c>
      <c r="H159" s="12">
        <v>42</v>
      </c>
      <c r="I159" s="12" t="s">
        <v>49</v>
      </c>
      <c r="J159" s="12" t="s">
        <v>33</v>
      </c>
      <c r="K159" s="12" t="s">
        <v>37</v>
      </c>
      <c r="L159" s="12" t="s">
        <v>38</v>
      </c>
      <c r="M159" s="12">
        <v>1.5</v>
      </c>
      <c r="N159" s="12">
        <v>139.19999999999999</v>
      </c>
      <c r="O159" s="12">
        <v>63.2</v>
      </c>
      <c r="P159" s="12">
        <v>32.700000000000003</v>
      </c>
      <c r="Q159" s="16">
        <v>15000000</v>
      </c>
      <c r="R159" s="16">
        <v>10000000</v>
      </c>
      <c r="S159" s="16">
        <v>-304114</v>
      </c>
      <c r="T159" s="12">
        <v>335</v>
      </c>
      <c r="U159" s="12">
        <v>230</v>
      </c>
      <c r="V159" s="12"/>
      <c r="W159" s="16">
        <v>640136</v>
      </c>
      <c r="X159" s="12" t="s">
        <v>1171</v>
      </c>
      <c r="Y159" s="12" t="s">
        <v>1172</v>
      </c>
      <c r="Z159" s="12" t="s">
        <v>1173</v>
      </c>
      <c r="AA159" s="12"/>
      <c r="AB159" s="1"/>
      <c r="AC159" s="8">
        <v>94800</v>
      </c>
      <c r="AD159" s="8">
        <v>1227275.838466804</v>
      </c>
      <c r="AE159" s="8">
        <v>309025.97494936752</v>
      </c>
      <c r="AF159" s="8">
        <f>VALUE(SUBSTITUTE(LEFT(Z159, FIND(" ", Z159) - 1), ",", ""))</f>
        <v>27513</v>
      </c>
      <c r="AG159" s="15">
        <f ca="1">(AF159/YEARFRAC(A159,TODAY())/P159)</f>
        <v>1781.7377226119806</v>
      </c>
      <c r="AI159" s="8">
        <f>VALUE(SUBSTITUTE(LEFT(X159, FIND(" ", X159) - 1), ",", ""))</f>
        <v>54959</v>
      </c>
      <c r="AK159" s="20" t="str">
        <f>IF(AI159&gt;AC159, "YES","")</f>
        <v/>
      </c>
    </row>
    <row r="160" spans="1:37" x14ac:dyDescent="0.25">
      <c r="A160" s="5">
        <v>45754</v>
      </c>
      <c r="B160" s="1" t="s">
        <v>58</v>
      </c>
      <c r="C160" s="1">
        <v>44</v>
      </c>
      <c r="D160" s="1" t="s">
        <v>43</v>
      </c>
      <c r="E160" s="1" t="s">
        <v>33</v>
      </c>
      <c r="F160" s="1" t="s">
        <v>34</v>
      </c>
      <c r="G160" s="1" t="s">
        <v>58</v>
      </c>
      <c r="H160" s="1">
        <v>43</v>
      </c>
      <c r="I160" s="1" t="s">
        <v>36</v>
      </c>
      <c r="J160" s="1" t="s">
        <v>33</v>
      </c>
      <c r="K160" s="1" t="s">
        <v>37</v>
      </c>
      <c r="L160" s="1" t="s">
        <v>38</v>
      </c>
      <c r="M160" s="1">
        <v>0.32</v>
      </c>
      <c r="N160" s="1">
        <v>147.4</v>
      </c>
      <c r="O160" s="1">
        <v>45.5</v>
      </c>
      <c r="P160" s="1">
        <v>82.1</v>
      </c>
      <c r="Q160" s="8">
        <v>11329623</v>
      </c>
      <c r="R160" s="8">
        <v>35000000</v>
      </c>
      <c r="S160" s="8">
        <v>-5030857</v>
      </c>
      <c r="T160" s="1">
        <v>452</v>
      </c>
      <c r="U160" s="1">
        <v>98</v>
      </c>
      <c r="V160" s="1"/>
      <c r="W160" s="8">
        <v>-4022970</v>
      </c>
      <c r="X160" s="1" t="s">
        <v>595</v>
      </c>
      <c r="Y160" s="1" t="s">
        <v>596</v>
      </c>
      <c r="Z160" s="1" t="s">
        <v>597</v>
      </c>
      <c r="AA160" s="1" t="s">
        <v>598</v>
      </c>
      <c r="AB160" s="1"/>
      <c r="AC160" s="8">
        <v>51549.784650000001</v>
      </c>
      <c r="AD160" s="8">
        <v>1050551.740561259</v>
      </c>
      <c r="AE160" s="8">
        <v>313367.02485278028</v>
      </c>
      <c r="AF160" s="8">
        <f>VALUE(SUBSTITUTE(LEFT(Z160, FIND(" ", Z160) - 1), ",", ""))</f>
        <v>118349</v>
      </c>
      <c r="AG160" s="15">
        <f ca="1">(AF160/YEARFRAC(A160,TODAY())/P160)</f>
        <v>2144.4136861920051</v>
      </c>
      <c r="AI160" s="8">
        <f>VALUE(SUBSTITUTE(LEFT(X160, FIND(" ", X160) - 1), ",", ""))</f>
        <v>134316</v>
      </c>
      <c r="AK160" s="20" t="str">
        <f>IF(AI160&gt;AC160, "YES","")</f>
        <v>YES</v>
      </c>
    </row>
    <row r="161" spans="1:37" x14ac:dyDescent="0.25">
      <c r="A161" s="5">
        <v>44636</v>
      </c>
      <c r="B161" s="1" t="s">
        <v>57</v>
      </c>
      <c r="C161" s="1">
        <v>36</v>
      </c>
      <c r="D161" s="1" t="s">
        <v>43</v>
      </c>
      <c r="E161" s="1" t="s">
        <v>33</v>
      </c>
      <c r="F161" s="1" t="s">
        <v>37</v>
      </c>
      <c r="G161" s="1" t="s">
        <v>31</v>
      </c>
      <c r="H161" s="1">
        <v>35</v>
      </c>
      <c r="I161" s="1" t="s">
        <v>142</v>
      </c>
      <c r="J161" s="1" t="s">
        <v>33</v>
      </c>
      <c r="K161" s="1" t="s">
        <v>34</v>
      </c>
      <c r="L161" s="1" t="s">
        <v>38</v>
      </c>
      <c r="M161" s="1">
        <v>0.19</v>
      </c>
      <c r="N161" s="1">
        <v>259.5</v>
      </c>
      <c r="O161" s="1">
        <v>288</v>
      </c>
      <c r="P161" s="1">
        <v>153.30000000000001</v>
      </c>
      <c r="Q161" s="8">
        <v>2868650</v>
      </c>
      <c r="R161" s="8">
        <v>15000000</v>
      </c>
      <c r="S161" s="8">
        <v>-328212</v>
      </c>
      <c r="T161" s="1">
        <v>155</v>
      </c>
      <c r="U161" s="1">
        <v>74</v>
      </c>
      <c r="V161" s="1"/>
      <c r="W161" s="8">
        <v>-222185</v>
      </c>
      <c r="X161" s="1" t="s">
        <v>150</v>
      </c>
      <c r="Y161" s="1" t="s">
        <v>151</v>
      </c>
      <c r="Z161" s="1" t="s">
        <v>152</v>
      </c>
      <c r="AA161" s="1" t="s">
        <v>42</v>
      </c>
      <c r="AB161" s="1"/>
      <c r="AC161" s="8">
        <v>82617.119999999995</v>
      </c>
      <c r="AD161" s="8">
        <v>206043.8316221766</v>
      </c>
      <c r="AE161" s="8">
        <v>318468.64899627131</v>
      </c>
      <c r="AF161" s="8">
        <f>VALUE(SUBSTITUTE(LEFT(Z161, FIND(" ", Z161) - 1), ",", ""))</f>
        <v>341363</v>
      </c>
      <c r="AG161" s="15">
        <f ca="1">(AF161/YEARFRAC(A161,TODAY())/P161)</f>
        <v>596.89890174901234</v>
      </c>
      <c r="AI161" s="8">
        <f>VALUE(SUBSTITUTE(LEFT(X161, FIND(" ", X161) - 1), ",", ""))</f>
        <v>341793</v>
      </c>
      <c r="AK161" s="20" t="str">
        <f>IF(AI161&gt;AC161, "YES","")</f>
        <v>YES</v>
      </c>
    </row>
    <row r="162" spans="1:37" x14ac:dyDescent="0.25">
      <c r="A162" s="17">
        <v>45827</v>
      </c>
      <c r="B162" s="12" t="s">
        <v>58</v>
      </c>
      <c r="C162" s="12">
        <v>43</v>
      </c>
      <c r="D162" s="12" t="s">
        <v>43</v>
      </c>
      <c r="E162" s="12" t="s">
        <v>33</v>
      </c>
      <c r="F162" s="12" t="s">
        <v>34</v>
      </c>
      <c r="G162" s="12" t="s">
        <v>58</v>
      </c>
      <c r="H162" s="12">
        <v>41</v>
      </c>
      <c r="I162" s="12" t="s">
        <v>36</v>
      </c>
      <c r="J162" s="12" t="s">
        <v>33</v>
      </c>
      <c r="K162" s="12" t="s">
        <v>37</v>
      </c>
      <c r="L162" s="12" t="s">
        <v>38</v>
      </c>
      <c r="M162" s="12">
        <v>0.37</v>
      </c>
      <c r="N162" s="12">
        <v>211.4</v>
      </c>
      <c r="O162" s="12">
        <v>121.4</v>
      </c>
      <c r="P162" s="12">
        <v>39.4</v>
      </c>
      <c r="Q162" s="16">
        <v>5500000</v>
      </c>
      <c r="R162" s="16">
        <v>15000000</v>
      </c>
      <c r="S162" s="16">
        <v>-1638701</v>
      </c>
      <c r="T162" s="12">
        <v>335</v>
      </c>
      <c r="U162" s="12">
        <v>33</v>
      </c>
      <c r="V162" s="12"/>
      <c r="W162" s="16">
        <v>-1292476</v>
      </c>
      <c r="X162" s="12" t="s">
        <v>1167</v>
      </c>
      <c r="Y162" s="12" t="s">
        <v>1168</v>
      </c>
      <c r="Z162" s="12" t="s">
        <v>1169</v>
      </c>
      <c r="AA162" s="12" t="s">
        <v>1170</v>
      </c>
      <c r="AB162" s="1"/>
      <c r="AC162" s="8">
        <v>66770</v>
      </c>
      <c r="AD162" s="8">
        <v>656348.39151266264</v>
      </c>
      <c r="AE162" s="8">
        <v>319656.77488960262</v>
      </c>
      <c r="AF162" s="8">
        <f>VALUE(SUBSTITUTE(LEFT(Z162, FIND(" ", Z162) - 1), ",", ""))</f>
        <v>114563</v>
      </c>
      <c r="AG162" s="15">
        <f ca="1">(AF162/YEARFRAC(A162,TODAY())/P162)</f>
        <v>6157.4619289340108</v>
      </c>
      <c r="AI162" s="8">
        <f>VALUE(SUBSTITUTE(LEFT(X162, FIND(" ", X162) - 1), ",", ""))</f>
        <v>124785</v>
      </c>
      <c r="AK162" s="20" t="str">
        <f>IF(AI162&gt;AC162, "YES","")</f>
        <v>YES</v>
      </c>
    </row>
    <row r="163" spans="1:37" x14ac:dyDescent="0.25">
      <c r="A163" s="17">
        <v>45870</v>
      </c>
      <c r="B163" s="12" t="s">
        <v>58</v>
      </c>
      <c r="C163" s="12">
        <v>43</v>
      </c>
      <c r="D163" s="12" t="s">
        <v>43</v>
      </c>
      <c r="E163" s="12" t="s">
        <v>33</v>
      </c>
      <c r="F163" s="12" t="s">
        <v>34</v>
      </c>
      <c r="G163" s="12" t="s">
        <v>58</v>
      </c>
      <c r="H163" s="12">
        <v>41</v>
      </c>
      <c r="I163" s="12" t="s">
        <v>36</v>
      </c>
      <c r="J163" s="12" t="s">
        <v>33</v>
      </c>
      <c r="K163" s="12" t="s">
        <v>37</v>
      </c>
      <c r="L163" s="12" t="s">
        <v>38</v>
      </c>
      <c r="M163" s="12">
        <v>0.37</v>
      </c>
      <c r="N163" s="12">
        <v>222.8</v>
      </c>
      <c r="O163" s="12">
        <v>145.69999999999999</v>
      </c>
      <c r="P163" s="12">
        <v>33.4</v>
      </c>
      <c r="Q163" s="16">
        <v>5600000</v>
      </c>
      <c r="R163" s="16">
        <v>15000000</v>
      </c>
      <c r="S163" s="16">
        <v>-1510218</v>
      </c>
      <c r="T163" s="12">
        <v>326</v>
      </c>
      <c r="U163" s="12">
        <v>25</v>
      </c>
      <c r="V163" s="12"/>
      <c r="W163" s="16">
        <v>-1130722</v>
      </c>
      <c r="X163" s="12" t="s">
        <v>1181</v>
      </c>
      <c r="Y163" s="12" t="s">
        <v>1182</v>
      </c>
      <c r="Z163" s="12" t="s">
        <v>1183</v>
      </c>
      <c r="AA163" s="12" t="s">
        <v>1184</v>
      </c>
      <c r="AB163" s="1"/>
      <c r="AC163" s="8">
        <v>81592</v>
      </c>
      <c r="AD163" s="8">
        <v>673712.85420944542</v>
      </c>
      <c r="AE163" s="8">
        <v>334802.1609080261</v>
      </c>
      <c r="AF163" s="8">
        <f>VALUE(SUBSTITUTE(LEFT(Z163, FIND(" ", Z163) - 1), ",", ""))</f>
        <v>117172</v>
      </c>
      <c r="AG163" s="15">
        <f ca="1">(AF163/YEARFRAC(A163,TODAY())/P163)</f>
        <v>9866.6541916167662</v>
      </c>
      <c r="AI163" s="8">
        <f>VALUE(SUBSTITUTE(LEFT(X163, FIND(" ", X163) - 1), ",", ""))</f>
        <v>127779</v>
      </c>
      <c r="AK163" s="20" t="str">
        <f>IF(AI163&gt;AC163, "YES","")</f>
        <v>YES</v>
      </c>
    </row>
    <row r="164" spans="1:37" x14ac:dyDescent="0.25">
      <c r="A164" s="5">
        <v>44545</v>
      </c>
      <c r="B164" s="20" t="s">
        <v>35</v>
      </c>
      <c r="C164" s="20">
        <v>34</v>
      </c>
      <c r="D164" s="20" t="s">
        <v>36</v>
      </c>
      <c r="E164" s="20" t="s">
        <v>33</v>
      </c>
      <c r="F164" s="20" t="s">
        <v>37</v>
      </c>
      <c r="G164" s="20" t="s">
        <v>44</v>
      </c>
      <c r="H164" s="20">
        <v>34</v>
      </c>
      <c r="I164" s="20" t="s">
        <v>50</v>
      </c>
      <c r="J164" s="20" t="s">
        <v>33</v>
      </c>
      <c r="K164" s="20" t="s">
        <v>34</v>
      </c>
      <c r="L164" s="20" t="s">
        <v>38</v>
      </c>
      <c r="M164" s="20">
        <v>0.42</v>
      </c>
      <c r="N164" s="20">
        <v>467.6</v>
      </c>
      <c r="O164" s="20">
        <v>300.2</v>
      </c>
      <c r="P164" s="20">
        <v>124.7</v>
      </c>
      <c r="Q164" s="8">
        <v>2114393</v>
      </c>
      <c r="R164" s="8">
        <v>5000000</v>
      </c>
      <c r="S164" s="8">
        <v>-456278</v>
      </c>
      <c r="T164" s="20">
        <v>-93</v>
      </c>
      <c r="U164" s="20">
        <v>132</v>
      </c>
      <c r="V164" s="20"/>
      <c r="W164" s="8">
        <v>-456278</v>
      </c>
      <c r="X164" s="20" t="s">
        <v>100</v>
      </c>
      <c r="Y164" s="20" t="s">
        <v>101</v>
      </c>
      <c r="Z164" s="20" t="s">
        <v>102</v>
      </c>
      <c r="AA164" s="20" t="s">
        <v>42</v>
      </c>
      <c r="AB164" s="1"/>
      <c r="AC164" s="8">
        <v>63474.077859999998</v>
      </c>
      <c r="AD164" s="8">
        <v>343828.09386283357</v>
      </c>
      <c r="AE164" s="8">
        <v>343828.09386283357</v>
      </c>
      <c r="AF164" s="8">
        <f>VALUE(SUBSTITUTE(LEFT(Z164, FIND(" ", Z164) - 1), ",", ""))</f>
        <v>443188</v>
      </c>
      <c r="AG164" s="15">
        <f ca="1">(AF164/YEARFRAC(A164,TODAY())/P164)</f>
        <v>892.22602866125567</v>
      </c>
      <c r="AI164" s="8">
        <f>VALUE(SUBSTITUTE(LEFT(X164, FIND(" ", X164) - 1), ",", ""))</f>
        <v>455509</v>
      </c>
      <c r="AK164" s="20" t="str">
        <f>IF(AI164&gt;AC164, "YES","")</f>
        <v>YES</v>
      </c>
    </row>
    <row r="165" spans="1:37" x14ac:dyDescent="0.25">
      <c r="A165" s="5">
        <v>44397</v>
      </c>
      <c r="B165" s="1" t="s">
        <v>35</v>
      </c>
      <c r="C165" s="1">
        <v>34</v>
      </c>
      <c r="D165" s="1" t="s">
        <v>49</v>
      </c>
      <c r="E165" s="1" t="s">
        <v>33</v>
      </c>
      <c r="F165" s="1" t="s">
        <v>37</v>
      </c>
      <c r="G165" s="1" t="s">
        <v>44</v>
      </c>
      <c r="H165" s="1">
        <v>34</v>
      </c>
      <c r="I165" s="1" t="s">
        <v>50</v>
      </c>
      <c r="J165" s="1" t="s">
        <v>33</v>
      </c>
      <c r="K165" s="1" t="s">
        <v>34</v>
      </c>
      <c r="L165" s="1" t="s">
        <v>38</v>
      </c>
      <c r="M165" s="1">
        <v>0.49</v>
      </c>
      <c r="N165" s="1">
        <v>207.3</v>
      </c>
      <c r="O165" s="1">
        <v>113.4</v>
      </c>
      <c r="P165" s="1">
        <v>263</v>
      </c>
      <c r="Q165" s="8">
        <v>4909200</v>
      </c>
      <c r="R165" s="8">
        <v>10000000</v>
      </c>
      <c r="S165" s="8">
        <v>-955381</v>
      </c>
      <c r="T165" s="1">
        <v>138</v>
      </c>
      <c r="U165" s="1">
        <v>146</v>
      </c>
      <c r="V165" s="1"/>
      <c r="W165" s="8">
        <v>-769967</v>
      </c>
      <c r="X165" s="1" t="s">
        <v>51</v>
      </c>
      <c r="Y165" s="1" t="s">
        <v>52</v>
      </c>
      <c r="Z165" s="1" t="s">
        <v>53</v>
      </c>
      <c r="AA165" s="1" t="s">
        <v>42</v>
      </c>
      <c r="AB165" s="1"/>
      <c r="AC165" s="8">
        <v>55670.328000000009</v>
      </c>
      <c r="AD165" s="8">
        <v>345791.66751540039</v>
      </c>
      <c r="AE165" s="8">
        <v>345791.66751540039</v>
      </c>
      <c r="AF165" s="8">
        <f>VALUE(SUBSTITUTE(LEFT(Z165, FIND(" ", Z165) - 1), ",", ""))</f>
        <v>584607</v>
      </c>
      <c r="AG165" s="15">
        <f ca="1">(AF165/YEARFRAC(A165,TODAY())/P165)</f>
        <v>506.79069633040115</v>
      </c>
      <c r="AI165" s="8">
        <f>VALUE(SUBSTITUTE(LEFT(X165, FIND(" ", X165) - 1), ",", ""))</f>
        <v>613705</v>
      </c>
      <c r="AK165" s="20" t="str">
        <f>IF(AI165&gt;AC165, "YES","")</f>
        <v>YES</v>
      </c>
    </row>
    <row r="166" spans="1:37" x14ac:dyDescent="0.25">
      <c r="A166" s="17">
        <v>45870</v>
      </c>
      <c r="B166" s="12" t="s">
        <v>58</v>
      </c>
      <c r="C166" s="12">
        <v>41</v>
      </c>
      <c r="D166" s="12" t="s">
        <v>36</v>
      </c>
      <c r="E166" s="12" t="s">
        <v>33</v>
      </c>
      <c r="F166" s="12" t="s">
        <v>37</v>
      </c>
      <c r="G166" s="12" t="s">
        <v>31</v>
      </c>
      <c r="H166" s="12">
        <v>43</v>
      </c>
      <c r="I166" s="12" t="s">
        <v>142</v>
      </c>
      <c r="J166" s="12" t="s">
        <v>33</v>
      </c>
      <c r="K166" s="12" t="s">
        <v>34</v>
      </c>
      <c r="L166" s="12" t="s">
        <v>38</v>
      </c>
      <c r="M166" s="12">
        <v>0.83</v>
      </c>
      <c r="N166" s="12">
        <v>49.3</v>
      </c>
      <c r="O166" s="12">
        <v>34.6</v>
      </c>
      <c r="P166" s="12">
        <v>166.4</v>
      </c>
      <c r="Q166" s="16">
        <v>15000000</v>
      </c>
      <c r="R166" s="16">
        <v>18200000</v>
      </c>
      <c r="S166" s="16">
        <v>-1612015</v>
      </c>
      <c r="T166" s="12">
        <v>25</v>
      </c>
      <c r="U166" s="12">
        <v>61</v>
      </c>
      <c r="V166" s="12"/>
      <c r="W166" s="16">
        <v>-1341091</v>
      </c>
      <c r="X166" s="12" t="s">
        <v>1177</v>
      </c>
      <c r="Y166" s="12" t="s">
        <v>1178</v>
      </c>
      <c r="Z166" s="12" t="s">
        <v>1179</v>
      </c>
      <c r="AA166" s="12" t="s">
        <v>1180</v>
      </c>
      <c r="AB166" s="3"/>
      <c r="AC166" s="8">
        <v>51900</v>
      </c>
      <c r="AD166" s="8">
        <v>359935.77002053388</v>
      </c>
      <c r="AE166" s="8">
        <v>359935.77002053388</v>
      </c>
      <c r="AF166" s="8">
        <f>VALUE(SUBSTITUTE(LEFT(Z166, FIND(" ", Z166) - 1), ",", ""))</f>
        <v>112473</v>
      </c>
      <c r="AG166" s="15">
        <f ca="1">(AF166/YEARFRAC(A166,TODAY())/P166)</f>
        <v>1901.0235126201922</v>
      </c>
      <c r="AI166" s="8">
        <f>VALUE(SUBSTITUTE(LEFT(X166, FIND(" ", X166) - 1), ",", ""))</f>
        <v>138961</v>
      </c>
      <c r="AK166" s="20" t="str">
        <f>IF(AI166&gt;AC166, "YES","")</f>
        <v>YES</v>
      </c>
    </row>
    <row r="167" spans="1:37" x14ac:dyDescent="0.25">
      <c r="A167" s="17">
        <v>45799</v>
      </c>
      <c r="B167" s="12" t="s">
        <v>31</v>
      </c>
      <c r="C167" s="12">
        <v>43</v>
      </c>
      <c r="D167" s="12" t="s">
        <v>32</v>
      </c>
      <c r="E167" s="12" t="s">
        <v>33</v>
      </c>
      <c r="F167" s="12" t="s">
        <v>34</v>
      </c>
      <c r="G167" s="12" t="s">
        <v>35</v>
      </c>
      <c r="H167" s="12">
        <v>42</v>
      </c>
      <c r="I167" s="12" t="s">
        <v>49</v>
      </c>
      <c r="J167" s="12" t="s">
        <v>33</v>
      </c>
      <c r="K167" s="12" t="s">
        <v>37</v>
      </c>
      <c r="L167" s="12" t="s">
        <v>38</v>
      </c>
      <c r="M167" s="12">
        <v>1.47</v>
      </c>
      <c r="N167" s="12">
        <v>31.3</v>
      </c>
      <c r="O167" s="12">
        <v>38.6</v>
      </c>
      <c r="P167" s="12">
        <v>219.7</v>
      </c>
      <c r="Q167" s="16">
        <v>14700000</v>
      </c>
      <c r="R167" s="16">
        <v>10000000</v>
      </c>
      <c r="S167" s="16">
        <v>-1798536</v>
      </c>
      <c r="T167" s="12">
        <v>205</v>
      </c>
      <c r="U167" s="12">
        <v>222</v>
      </c>
      <c r="V167" s="12"/>
      <c r="W167" s="16">
        <v>83903</v>
      </c>
      <c r="X167" s="12" t="s">
        <v>1156</v>
      </c>
      <c r="Y167" s="12" t="s">
        <v>1157</v>
      </c>
      <c r="Z167" s="12" t="s">
        <v>1158</v>
      </c>
      <c r="AA167" s="12" t="s">
        <v>1159</v>
      </c>
      <c r="AB167" s="3"/>
      <c r="AC167" s="8">
        <v>56742</v>
      </c>
      <c r="AD167" s="8">
        <v>363456.67351129348</v>
      </c>
      <c r="AE167" s="8">
        <v>363456.67351129348</v>
      </c>
      <c r="AF167" s="8">
        <f>VALUE(SUBSTITUTE(LEFT(Z167, FIND(" ", Z167) - 1), ",", ""))</f>
        <v>117021</v>
      </c>
      <c r="AG167" s="15">
        <f ca="1">(AF167/YEARFRAC(A167,TODAY())/P167)</f>
        <v>973.35221772190505</v>
      </c>
      <c r="AI167" s="8">
        <f>VALUE(SUBSTITUTE(LEFT(X167, FIND(" ", X167) - 1), ",", ""))</f>
        <v>139913</v>
      </c>
      <c r="AK167" s="20" t="str">
        <f>IF(AI167&gt;AC167, "YES","")</f>
        <v>YES</v>
      </c>
    </row>
    <row r="168" spans="1:37" x14ac:dyDescent="0.25">
      <c r="A168" s="5">
        <v>44980</v>
      </c>
      <c r="B168" s="20" t="s">
        <v>31</v>
      </c>
      <c r="C168" s="20">
        <v>38</v>
      </c>
      <c r="D168" s="20" t="s">
        <v>43</v>
      </c>
      <c r="E168" s="20" t="s">
        <v>33</v>
      </c>
      <c r="F168" s="20" t="s">
        <v>34</v>
      </c>
      <c r="G168" s="20" t="s">
        <v>44</v>
      </c>
      <c r="H168" s="20">
        <v>36</v>
      </c>
      <c r="I168" s="20" t="s">
        <v>43</v>
      </c>
      <c r="J168" s="20" t="s">
        <v>33</v>
      </c>
      <c r="K168" s="20" t="s">
        <v>37</v>
      </c>
      <c r="L168" s="20" t="s">
        <v>118</v>
      </c>
      <c r="M168" s="20">
        <v>0.96</v>
      </c>
      <c r="N168" s="20">
        <v>-1.5</v>
      </c>
      <c r="O168" s="20">
        <v>13</v>
      </c>
      <c r="P168" s="20">
        <v>56.3</v>
      </c>
      <c r="Q168" s="8">
        <v>133780534</v>
      </c>
      <c r="R168" s="8">
        <v>140000000</v>
      </c>
      <c r="S168" s="8">
        <v>-263680</v>
      </c>
      <c r="T168" s="20">
        <v>66</v>
      </c>
      <c r="U168" s="20">
        <v>64</v>
      </c>
      <c r="V168" s="20"/>
      <c r="W168" s="8">
        <v>2281620</v>
      </c>
      <c r="X168" s="20" t="s">
        <v>281</v>
      </c>
      <c r="Y168" s="20" t="s">
        <v>282</v>
      </c>
      <c r="Z168" s="20" t="s">
        <v>283</v>
      </c>
      <c r="AA168" s="20"/>
      <c r="AB168" s="3"/>
      <c r="AC168" s="14">
        <v>173914.6942</v>
      </c>
      <c r="AD168" s="22">
        <v>390093.10199370282</v>
      </c>
      <c r="AE168" s="23">
        <v>374534.58166025562</v>
      </c>
      <c r="AF168" s="21">
        <f>VALUE(SUBSTITUTE(LEFT(Z168, FIND(" ", Z168) - 1), ",", ""))</f>
        <v>-299204</v>
      </c>
      <c r="AG168" s="13">
        <f ca="1">(AF168/YEARFRAC(A168,TODAY())/P168)</f>
        <v>-1901.7942081083661</v>
      </c>
      <c r="AH168" s="19" t="s">
        <v>1238</v>
      </c>
      <c r="AI168" s="14">
        <f>VALUE(SUBSTITUTE(LEFT(X168, FIND(" ", X168) - 1), ",", ""))</f>
        <v>634926</v>
      </c>
      <c r="AK168" s="20" t="str">
        <f>IF(AI168&gt;AC168, "YES","")</f>
        <v>YES</v>
      </c>
    </row>
    <row r="169" spans="1:37" x14ac:dyDescent="0.25">
      <c r="A169" s="5">
        <v>45398</v>
      </c>
      <c r="B169" s="20" t="s">
        <v>58</v>
      </c>
      <c r="C169" s="20">
        <v>39</v>
      </c>
      <c r="D169" s="20" t="s">
        <v>36</v>
      </c>
      <c r="E169" s="20" t="s">
        <v>33</v>
      </c>
      <c r="F169" s="20" t="s">
        <v>37</v>
      </c>
      <c r="G169" s="20" t="s">
        <v>31</v>
      </c>
      <c r="H169" s="20">
        <v>41</v>
      </c>
      <c r="I169" s="20" t="s">
        <v>142</v>
      </c>
      <c r="J169" s="20" t="s">
        <v>33</v>
      </c>
      <c r="K169" s="20" t="s">
        <v>34</v>
      </c>
      <c r="L169" s="20" t="s">
        <v>38</v>
      </c>
      <c r="M169" s="20">
        <v>0.92</v>
      </c>
      <c r="N169" s="20">
        <v>57.2</v>
      </c>
      <c r="O169" s="20">
        <v>44.5</v>
      </c>
      <c r="P169" s="20">
        <v>109.1</v>
      </c>
      <c r="Q169" s="8">
        <v>15000000</v>
      </c>
      <c r="R169" s="8">
        <v>16381046</v>
      </c>
      <c r="S169" s="8">
        <v>-1741878</v>
      </c>
      <c r="T169" s="20">
        <v>25</v>
      </c>
      <c r="U169" s="20">
        <v>67</v>
      </c>
      <c r="V169" s="20"/>
      <c r="W169" s="8">
        <v>-1741878</v>
      </c>
      <c r="X169" s="20" t="s">
        <v>419</v>
      </c>
      <c r="Y169" s="20" t="s">
        <v>420</v>
      </c>
      <c r="Z169" s="20" t="s">
        <v>421</v>
      </c>
      <c r="AA169" s="20" t="s">
        <v>42</v>
      </c>
      <c r="AB169" s="3"/>
      <c r="AC169" s="8">
        <v>66750</v>
      </c>
      <c r="AD169" s="8">
        <v>375647.88778589998</v>
      </c>
      <c r="AE169" s="8">
        <v>375647.88778589998</v>
      </c>
      <c r="AF169" s="8">
        <f>VALUE(SUBSTITUTE(LEFT(Z169, FIND(" ", Z169) - 1), ",", ""))</f>
        <v>468401</v>
      </c>
      <c r="AG169" s="15">
        <f ca="1">(AF169/YEARFRAC(A169,TODAY())/P169)</f>
        <v>2606.3988203343933</v>
      </c>
      <c r="AI169" s="8">
        <f>VALUE(SUBSTITUTE(LEFT(X169, FIND(" ", X169) - 1), ",", ""))</f>
        <v>470894</v>
      </c>
      <c r="AK169" s="20" t="str">
        <f>IF(AI169&gt;AC169, "YES","")</f>
        <v>YES</v>
      </c>
    </row>
    <row r="170" spans="1:37" x14ac:dyDescent="0.25">
      <c r="A170" s="5">
        <v>44980</v>
      </c>
      <c r="B170" s="3" t="s">
        <v>58</v>
      </c>
      <c r="C170" s="3">
        <v>39</v>
      </c>
      <c r="D170" s="3" t="s">
        <v>36</v>
      </c>
      <c r="E170" s="3" t="s">
        <v>33</v>
      </c>
      <c r="F170" s="3" t="s">
        <v>37</v>
      </c>
      <c r="G170" s="3" t="s">
        <v>31</v>
      </c>
      <c r="H170" s="3">
        <v>39</v>
      </c>
      <c r="I170" s="3" t="s">
        <v>32</v>
      </c>
      <c r="J170" s="3" t="s">
        <v>33</v>
      </c>
      <c r="K170" s="3" t="s">
        <v>34</v>
      </c>
      <c r="L170" s="3" t="s">
        <v>38</v>
      </c>
      <c r="M170" s="3">
        <v>2.93</v>
      </c>
      <c r="N170" s="3">
        <v>28.7</v>
      </c>
      <c r="O170" s="3">
        <v>16.899999999999999</v>
      </c>
      <c r="P170" s="3">
        <v>294.8</v>
      </c>
      <c r="Q170" s="8">
        <v>35000000</v>
      </c>
      <c r="R170" s="8">
        <v>11957784</v>
      </c>
      <c r="S170" s="8">
        <v>-6449717</v>
      </c>
      <c r="T170" s="3">
        <v>102</v>
      </c>
      <c r="U170" s="3">
        <v>364</v>
      </c>
      <c r="V170" s="3"/>
      <c r="W170" s="8">
        <v>-5571649</v>
      </c>
      <c r="X170" s="3" t="s">
        <v>259</v>
      </c>
      <c r="Y170" s="3" t="s">
        <v>260</v>
      </c>
      <c r="Z170" s="3" t="s">
        <v>261</v>
      </c>
      <c r="AA170" s="3" t="s">
        <v>42</v>
      </c>
      <c r="AB170" s="3"/>
      <c r="AC170" s="8">
        <v>59149.999999999993</v>
      </c>
      <c r="AD170" s="8">
        <v>377335.35253552371</v>
      </c>
      <c r="AE170" s="8">
        <v>377335.35253552371</v>
      </c>
      <c r="AF170" s="8">
        <f>VALUE(SUBSTITUTE(LEFT(Z170, FIND(" ", Z170) - 1), ",", ""))</f>
        <v>1538090</v>
      </c>
      <c r="AG170" s="15">
        <f ca="1">(AF170/YEARFRAC(A170,TODAY())/P170)</f>
        <v>1867.0622128828118</v>
      </c>
      <c r="AI170" s="8">
        <f>VALUE(SUBSTITUTE(LEFT(X170, FIND(" ", X170) - 1), ",", ""))</f>
        <v>1538670</v>
      </c>
      <c r="AK170" s="20" t="str">
        <f>IF(AI170&gt;AC170, "YES","")</f>
        <v>YES</v>
      </c>
    </row>
    <row r="171" spans="1:37" x14ac:dyDescent="0.25">
      <c r="A171" s="5">
        <v>45469</v>
      </c>
      <c r="B171" s="3" t="s">
        <v>35</v>
      </c>
      <c r="C171" s="3">
        <v>40</v>
      </c>
      <c r="D171" s="3" t="s">
        <v>43</v>
      </c>
      <c r="E171" s="3" t="s">
        <v>33</v>
      </c>
      <c r="F171" s="3" t="s">
        <v>34</v>
      </c>
      <c r="G171" s="3" t="s">
        <v>35</v>
      </c>
      <c r="H171" s="3">
        <v>40</v>
      </c>
      <c r="I171" s="3" t="s">
        <v>36</v>
      </c>
      <c r="J171" s="3" t="s">
        <v>33</v>
      </c>
      <c r="K171" s="3" t="s">
        <v>37</v>
      </c>
      <c r="L171" s="3" t="s">
        <v>38</v>
      </c>
      <c r="M171" s="3">
        <v>0.69</v>
      </c>
      <c r="N171" s="3">
        <v>216.5</v>
      </c>
      <c r="O171" s="3">
        <v>25.8</v>
      </c>
      <c r="P171" s="3">
        <v>145</v>
      </c>
      <c r="Q171" s="8">
        <v>24089230</v>
      </c>
      <c r="R171" s="8">
        <v>35000000</v>
      </c>
      <c r="S171" s="8">
        <v>-4633445</v>
      </c>
      <c r="T171" s="3">
        <v>336</v>
      </c>
      <c r="U171" s="3">
        <v>82</v>
      </c>
      <c r="V171" s="3"/>
      <c r="W171" s="8">
        <v>-4347162</v>
      </c>
      <c r="X171" s="3" t="s">
        <v>750</v>
      </c>
      <c r="Y171" s="3" t="s">
        <v>751</v>
      </c>
      <c r="Z171" s="3" t="s">
        <v>752</v>
      </c>
      <c r="AA171" s="3" t="s">
        <v>753</v>
      </c>
      <c r="AB171" s="3"/>
      <c r="AC171" s="8">
        <v>62150.213400000008</v>
      </c>
      <c r="AD171" s="8">
        <v>2342746.430291581</v>
      </c>
      <c r="AE171" s="8">
        <v>380141.63527846872</v>
      </c>
      <c r="AF171" s="8">
        <f>VALUE(SUBSTITUTE(LEFT(Z171, FIND(" ", Z171) - 1), ",", ""))</f>
        <v>1238139</v>
      </c>
      <c r="AG171" s="15">
        <f ca="1">(AF171/YEARFRAC(A171,TODAY())/P171)</f>
        <v>5877.6295905584493</v>
      </c>
      <c r="AI171" s="8">
        <f>VALUE(SUBSTITUTE(LEFT(X171, FIND(" ", X171) - 1), ",", ""))</f>
        <v>1256314</v>
      </c>
      <c r="AK171" s="20" t="str">
        <f>IF(AI171&gt;AC171, "YES","")</f>
        <v>YES</v>
      </c>
    </row>
    <row r="172" spans="1:37" x14ac:dyDescent="0.25">
      <c r="A172" s="5">
        <v>45398</v>
      </c>
      <c r="B172" s="20" t="s">
        <v>58</v>
      </c>
      <c r="C172" s="20">
        <v>39</v>
      </c>
      <c r="D172" s="20" t="s">
        <v>36</v>
      </c>
      <c r="E172" s="20" t="s">
        <v>33</v>
      </c>
      <c r="F172" s="20" t="s">
        <v>37</v>
      </c>
      <c r="G172" s="20" t="s">
        <v>31</v>
      </c>
      <c r="H172" s="20">
        <v>41</v>
      </c>
      <c r="I172" s="20" t="s">
        <v>32</v>
      </c>
      <c r="J172" s="20" t="s">
        <v>33</v>
      </c>
      <c r="K172" s="20" t="s">
        <v>34</v>
      </c>
      <c r="L172" s="20" t="s">
        <v>38</v>
      </c>
      <c r="M172" s="20">
        <v>2.79</v>
      </c>
      <c r="N172" s="20">
        <v>57.1</v>
      </c>
      <c r="O172" s="20">
        <v>38.5</v>
      </c>
      <c r="P172" s="20">
        <v>126.1</v>
      </c>
      <c r="Q172" s="8">
        <v>15000000</v>
      </c>
      <c r="R172" s="8">
        <v>5385406</v>
      </c>
      <c r="S172" s="8">
        <v>-2135129</v>
      </c>
      <c r="T172" s="20">
        <v>25</v>
      </c>
      <c r="U172" s="20">
        <v>207</v>
      </c>
      <c r="V172" s="20"/>
      <c r="W172" s="8">
        <v>-2135129</v>
      </c>
      <c r="X172" s="20" t="s">
        <v>416</v>
      </c>
      <c r="Y172" s="20" t="s">
        <v>417</v>
      </c>
      <c r="Z172" s="20" t="s">
        <v>418</v>
      </c>
      <c r="AA172" s="20" t="s">
        <v>42</v>
      </c>
      <c r="AB172" s="3"/>
      <c r="AC172" s="8">
        <v>57750</v>
      </c>
      <c r="AD172" s="8">
        <v>383718.65373798768</v>
      </c>
      <c r="AE172" s="8">
        <v>383718.65373798768</v>
      </c>
      <c r="AF172" s="8">
        <f>VALUE(SUBSTITUTE(LEFT(Z172, FIND(" ", Z172) - 1), ",", ""))</f>
        <v>493975</v>
      </c>
      <c r="AG172" s="15">
        <f ca="1">(AF172/YEARFRAC(A172,TODAY())/P172)</f>
        <v>2378.1414948119282</v>
      </c>
      <c r="AI172" s="8">
        <f>VALUE(SUBSTITUTE(LEFT(X172, FIND(" ", X172) - 1), ",", ""))</f>
        <v>495806</v>
      </c>
      <c r="AK172" s="20" t="str">
        <f>IF(AI172&gt;AC172, "YES","")</f>
        <v>YES</v>
      </c>
    </row>
    <row r="173" spans="1:37" hidden="1" x14ac:dyDescent="0.25">
      <c r="A173" s="5">
        <v>44545</v>
      </c>
      <c r="B173" s="3" t="s">
        <v>58</v>
      </c>
      <c r="C173" s="3">
        <v>37</v>
      </c>
      <c r="D173" s="3" t="s">
        <v>43</v>
      </c>
      <c r="E173" s="3" t="s">
        <v>33</v>
      </c>
      <c r="F173" s="3" t="s">
        <v>34</v>
      </c>
      <c r="G173" s="3" t="s">
        <v>35</v>
      </c>
      <c r="H173" s="3">
        <v>34</v>
      </c>
      <c r="I173" s="3" t="s">
        <v>43</v>
      </c>
      <c r="J173" s="3" t="s">
        <v>78</v>
      </c>
      <c r="K173" s="3" t="s">
        <v>37</v>
      </c>
      <c r="L173" s="3" t="s">
        <v>38</v>
      </c>
      <c r="M173" s="3">
        <v>0.86</v>
      </c>
      <c r="N173" s="3">
        <v>8.3000000000000007</v>
      </c>
      <c r="O173" s="3">
        <v>36</v>
      </c>
      <c r="P173" s="3">
        <v>312.7</v>
      </c>
      <c r="Q173" s="8">
        <v>21429748</v>
      </c>
      <c r="R173" s="8">
        <v>25000000</v>
      </c>
      <c r="S173" s="8">
        <v>-1799500</v>
      </c>
      <c r="T173" s="3">
        <v>308</v>
      </c>
      <c r="U173" s="3">
        <v>256</v>
      </c>
      <c r="V173" s="3"/>
      <c r="W173" s="8">
        <v>-71711</v>
      </c>
      <c r="X173" s="3" t="s">
        <v>79</v>
      </c>
      <c r="Y173" s="3" t="s">
        <v>80</v>
      </c>
      <c r="Z173" s="3" t="s">
        <v>81</v>
      </c>
      <c r="AA173" s="3"/>
      <c r="AB173" s="3"/>
      <c r="AC173" s="14">
        <v>77147.092799999999</v>
      </c>
      <c r="AD173" s="22">
        <v>-539120.18477645423</v>
      </c>
      <c r="AE173" s="23">
        <v>388541.52259002998</v>
      </c>
      <c r="AF173" s="21">
        <f>VALUE(SUBSTITUTE(LEFT(Z173, FIND(" ", Z173) - 1), ",", ""))</f>
        <v>-658504</v>
      </c>
      <c r="AG173" s="13">
        <f ca="1">(AF173/YEARFRAC(A173,TODAY())/P173)</f>
        <v>-528.66904929798898</v>
      </c>
      <c r="AH173" s="19" t="s">
        <v>1238</v>
      </c>
      <c r="AI173" s="14">
        <f>VALUE(SUBSTITUTE(LEFT(X173, FIND(" ", X173) - 1), ",", ""))</f>
        <v>2529128</v>
      </c>
      <c r="AK173" s="20" t="str">
        <f>IF(AI173&gt;AC173, "YES","")</f>
        <v>YES</v>
      </c>
    </row>
    <row r="174" spans="1:37" x14ac:dyDescent="0.25">
      <c r="A174" s="5">
        <v>45512</v>
      </c>
      <c r="B174" s="3" t="s">
        <v>58</v>
      </c>
      <c r="C174" s="3">
        <v>39</v>
      </c>
      <c r="D174" s="3" t="s">
        <v>36</v>
      </c>
      <c r="E174" s="3" t="s">
        <v>33</v>
      </c>
      <c r="F174" s="3" t="s">
        <v>37</v>
      </c>
      <c r="G174" s="3" t="s">
        <v>44</v>
      </c>
      <c r="H174" s="3">
        <v>40</v>
      </c>
      <c r="I174" s="3" t="s">
        <v>45</v>
      </c>
      <c r="J174" s="3" t="s">
        <v>33</v>
      </c>
      <c r="K174" s="3" t="s">
        <v>34</v>
      </c>
      <c r="L174" s="3" t="s">
        <v>38</v>
      </c>
      <c r="M174" s="3">
        <v>1.37</v>
      </c>
      <c r="N174" s="3">
        <v>68.099999999999994</v>
      </c>
      <c r="O174" s="3">
        <v>68.2</v>
      </c>
      <c r="P174" s="3">
        <v>79.900000000000006</v>
      </c>
      <c r="Q174" s="8">
        <v>15000000</v>
      </c>
      <c r="R174" s="8">
        <v>10980401</v>
      </c>
      <c r="S174" s="8">
        <v>-1819787</v>
      </c>
      <c r="T174" s="3">
        <v>17</v>
      </c>
      <c r="U174" s="3">
        <v>101</v>
      </c>
      <c r="V174" s="3"/>
      <c r="W174" s="8">
        <v>-1798965</v>
      </c>
      <c r="X174" s="3" t="s">
        <v>499</v>
      </c>
      <c r="Y174" s="3" t="s">
        <v>500</v>
      </c>
      <c r="Z174" s="3" t="s">
        <v>501</v>
      </c>
      <c r="AA174" s="3" t="s">
        <v>42</v>
      </c>
      <c r="AB174" s="3"/>
      <c r="AC174" s="8">
        <v>102300</v>
      </c>
      <c r="AD174" s="8">
        <v>398492.18318822718</v>
      </c>
      <c r="AE174" s="8">
        <v>398492.18318822718</v>
      </c>
      <c r="AF174" s="8">
        <f>VALUE(SUBSTITUTE(LEFT(Z174, FIND(" ", Z174) - 1), ",", ""))</f>
        <v>453971</v>
      </c>
      <c r="AG174" s="15">
        <f ca="1">(AF174/YEARFRAC(A174,TODAY())/P174)</f>
        <v>4252.4454944980598</v>
      </c>
      <c r="AI174" s="8">
        <f>VALUE(SUBSTITUTE(LEFT(X174, FIND(" ", X174) - 1), ",", ""))</f>
        <v>462055</v>
      </c>
      <c r="AK174" s="20" t="str">
        <f>IF(AI174&gt;AC174, "YES","")</f>
        <v>YES</v>
      </c>
    </row>
    <row r="175" spans="1:37" x14ac:dyDescent="0.25">
      <c r="A175" s="5">
        <v>45744</v>
      </c>
      <c r="B175" s="3" t="s">
        <v>58</v>
      </c>
      <c r="C175" s="3">
        <v>41</v>
      </c>
      <c r="D175" s="3" t="s">
        <v>36</v>
      </c>
      <c r="E175" s="3" t="s">
        <v>33</v>
      </c>
      <c r="F175" s="3" t="s">
        <v>37</v>
      </c>
      <c r="G175" s="3" t="s">
        <v>31</v>
      </c>
      <c r="H175" s="3">
        <v>43</v>
      </c>
      <c r="I175" s="3" t="s">
        <v>32</v>
      </c>
      <c r="J175" s="3" t="s">
        <v>33</v>
      </c>
      <c r="K175" s="3" t="s">
        <v>34</v>
      </c>
      <c r="L175" s="3" t="s">
        <v>38</v>
      </c>
      <c r="M175" s="3">
        <v>2.59</v>
      </c>
      <c r="N175" s="3">
        <v>57.3</v>
      </c>
      <c r="O175" s="3">
        <v>48.8</v>
      </c>
      <c r="P175" s="3">
        <v>147.69999999999999</v>
      </c>
      <c r="Q175" s="8">
        <v>15000000</v>
      </c>
      <c r="R175" s="8">
        <v>5794526</v>
      </c>
      <c r="S175" s="8">
        <v>-2287297</v>
      </c>
      <c r="T175" s="3">
        <v>36</v>
      </c>
      <c r="U175" s="3">
        <v>221</v>
      </c>
      <c r="V175" s="3"/>
      <c r="W175" s="8">
        <v>-2265730</v>
      </c>
      <c r="X175" s="3" t="s">
        <v>1013</v>
      </c>
      <c r="Y175" s="3" t="s">
        <v>1014</v>
      </c>
      <c r="Z175" s="3" t="s">
        <v>1015</v>
      </c>
      <c r="AA175" s="3" t="s">
        <v>1016</v>
      </c>
      <c r="AB175" s="3"/>
      <c r="AC175" s="8">
        <v>73200</v>
      </c>
      <c r="AD175" s="8">
        <v>404336.74061273102</v>
      </c>
      <c r="AE175" s="8">
        <v>404336.74061273102</v>
      </c>
      <c r="AF175" s="8">
        <f>VALUE(SUBSTITUTE(LEFT(Z175, FIND(" ", Z175) - 1), ",", ""))</f>
        <v>257109</v>
      </c>
      <c r="AG175" s="15">
        <f ca="1">(AF175/YEARFRAC(A175,TODAY())/P175)</f>
        <v>2496.6954119877973</v>
      </c>
      <c r="AI175" s="8">
        <f>VALUE(SUBSTITUTE(LEFT(X175, FIND(" ", X175) - 1), ",", ""))</f>
        <v>257550</v>
      </c>
      <c r="AK175" s="20" t="str">
        <f>IF(AI175&gt;AC175, "YES","")</f>
        <v>YES</v>
      </c>
    </row>
    <row r="176" spans="1:37" x14ac:dyDescent="0.25">
      <c r="A176" s="17">
        <v>45755</v>
      </c>
      <c r="B176" s="12" t="s">
        <v>35</v>
      </c>
      <c r="C176" s="12">
        <v>42</v>
      </c>
      <c r="D176" s="12" t="s">
        <v>49</v>
      </c>
      <c r="E176" s="12" t="s">
        <v>33</v>
      </c>
      <c r="F176" s="12" t="s">
        <v>37</v>
      </c>
      <c r="G176" s="12" t="s">
        <v>44</v>
      </c>
      <c r="H176" s="12">
        <v>42</v>
      </c>
      <c r="I176" s="12" t="s">
        <v>45</v>
      </c>
      <c r="J176" s="12" t="s">
        <v>33</v>
      </c>
      <c r="K176" s="12" t="s">
        <v>34</v>
      </c>
      <c r="L176" s="12" t="s">
        <v>38</v>
      </c>
      <c r="M176" s="12">
        <v>0.28000000000000003</v>
      </c>
      <c r="N176" s="12">
        <v>180.5</v>
      </c>
      <c r="O176" s="12">
        <v>135.9</v>
      </c>
      <c r="P176" s="12">
        <v>123.6</v>
      </c>
      <c r="Q176" s="16">
        <v>5600000</v>
      </c>
      <c r="R176" s="16">
        <v>20000000</v>
      </c>
      <c r="S176" s="16">
        <v>-785954</v>
      </c>
      <c r="T176" s="12">
        <v>346</v>
      </c>
      <c r="U176" s="12">
        <v>140</v>
      </c>
      <c r="V176" s="12"/>
      <c r="W176" s="16">
        <v>-192935</v>
      </c>
      <c r="X176" s="12" t="s">
        <v>1132</v>
      </c>
      <c r="Y176" s="12" t="s">
        <v>1133</v>
      </c>
      <c r="Z176" s="12" t="s">
        <v>1134</v>
      </c>
      <c r="AA176" s="12" t="s">
        <v>1135</v>
      </c>
      <c r="AB176" s="3"/>
      <c r="AC176" s="8">
        <v>76104.000000000015</v>
      </c>
      <c r="AD176" s="8">
        <v>405404.73648186179</v>
      </c>
      <c r="AE176" s="8">
        <v>405404.73648186179</v>
      </c>
      <c r="AF176" s="8">
        <f>VALUE(SUBSTITUTE(LEFT(Z176, FIND(" ", Z176) - 1), ",", ""))</f>
        <v>143855</v>
      </c>
      <c r="AG176" s="15">
        <f ca="1">(AF176/YEARFRAC(A176,TODAY())/P176)</f>
        <v>1738.569069008581</v>
      </c>
      <c r="AI176" s="8">
        <f>VALUE(SUBSTITUTE(LEFT(X176, FIND(" ", X176) - 1), ",", ""))</f>
        <v>155597</v>
      </c>
      <c r="AK176" s="20" t="str">
        <f>IF(AI176&gt;AC176, "YES","")</f>
        <v>YES</v>
      </c>
    </row>
    <row r="177" spans="1:37" x14ac:dyDescent="0.25">
      <c r="A177" s="5">
        <v>45511</v>
      </c>
      <c r="B177" s="20" t="s">
        <v>58</v>
      </c>
      <c r="C177" s="20">
        <v>39</v>
      </c>
      <c r="D177" s="20" t="s">
        <v>284</v>
      </c>
      <c r="E177" s="20" t="s">
        <v>33</v>
      </c>
      <c r="F177" s="20" t="s">
        <v>37</v>
      </c>
      <c r="G177" s="20" t="s">
        <v>44</v>
      </c>
      <c r="H177" s="20">
        <v>40</v>
      </c>
      <c r="I177" s="20" t="s">
        <v>45</v>
      </c>
      <c r="J177" s="20" t="s">
        <v>33</v>
      </c>
      <c r="K177" s="20" t="s">
        <v>34</v>
      </c>
      <c r="L177" s="20" t="s">
        <v>38</v>
      </c>
      <c r="M177" s="20">
        <v>0.41</v>
      </c>
      <c r="N177" s="20">
        <v>200.5</v>
      </c>
      <c r="O177" s="20">
        <v>106.7</v>
      </c>
      <c r="P177" s="20">
        <v>162.19999999999999</v>
      </c>
      <c r="Q177" s="8">
        <v>5000000</v>
      </c>
      <c r="R177" s="8">
        <v>12074748</v>
      </c>
      <c r="S177" s="8">
        <v>-535074</v>
      </c>
      <c r="T177" s="20">
        <v>74</v>
      </c>
      <c r="U177" s="20">
        <v>101</v>
      </c>
      <c r="V177" s="20"/>
      <c r="W177" s="8">
        <v>-473084</v>
      </c>
      <c r="X177" s="20" t="s">
        <v>824</v>
      </c>
      <c r="Y177" s="20" t="s">
        <v>825</v>
      </c>
      <c r="Z177" s="20" t="s">
        <v>826</v>
      </c>
      <c r="AA177" s="20" t="s">
        <v>827</v>
      </c>
      <c r="AB177" s="3"/>
      <c r="AC177" s="8">
        <v>53350</v>
      </c>
      <c r="AD177" s="8">
        <v>408295.98319178639</v>
      </c>
      <c r="AE177" s="8">
        <v>408295.98319178639</v>
      </c>
      <c r="AF177" s="8">
        <f>VALUE(SUBSTITUTE(LEFT(Z177, FIND(" ", Z177) - 1), ",", ""))</f>
        <v>311795</v>
      </c>
      <c r="AG177" s="15">
        <f ca="1">(AF177/YEARFRAC(A177,TODAY())/P177)</f>
        <v>1435.7332528357495</v>
      </c>
      <c r="AI177" s="8">
        <f>VALUE(SUBSTITUTE(LEFT(X177, FIND(" ", X177) - 1), ",", ""))</f>
        <v>320726</v>
      </c>
      <c r="AK177" s="20" t="str">
        <f>IF(AI177&gt;AC177, "YES","")</f>
        <v>YES</v>
      </c>
    </row>
    <row r="178" spans="1:37" x14ac:dyDescent="0.25">
      <c r="A178" s="17">
        <v>45827</v>
      </c>
      <c r="B178" s="12" t="s">
        <v>58</v>
      </c>
      <c r="C178" s="12">
        <v>43</v>
      </c>
      <c r="D178" s="12" t="s">
        <v>43</v>
      </c>
      <c r="E178" s="12" t="s">
        <v>33</v>
      </c>
      <c r="F178" s="12" t="s">
        <v>34</v>
      </c>
      <c r="G178" s="12" t="s">
        <v>35</v>
      </c>
      <c r="H178" s="12">
        <v>42</v>
      </c>
      <c r="I178" s="12" t="s">
        <v>36</v>
      </c>
      <c r="J178" s="12" t="s">
        <v>33</v>
      </c>
      <c r="K178" s="12" t="s">
        <v>37</v>
      </c>
      <c r="L178" s="12" t="s">
        <v>38</v>
      </c>
      <c r="M178" s="12">
        <v>0.55000000000000004</v>
      </c>
      <c r="N178" s="12">
        <v>139.5</v>
      </c>
      <c r="O178" s="12">
        <v>48.1</v>
      </c>
      <c r="P178" s="12">
        <v>42.3</v>
      </c>
      <c r="Q178" s="16">
        <v>19400000</v>
      </c>
      <c r="R178" s="16">
        <v>35000000</v>
      </c>
      <c r="S178" s="16">
        <v>-5131661</v>
      </c>
      <c r="T178" s="12">
        <v>335</v>
      </c>
      <c r="U178" s="12">
        <v>84</v>
      </c>
      <c r="V178" s="12"/>
      <c r="W178" s="16">
        <v>-3910430</v>
      </c>
      <c r="X178" s="12" t="s">
        <v>1163</v>
      </c>
      <c r="Y178" s="12" t="s">
        <v>1164</v>
      </c>
      <c r="Z178" s="12" t="s">
        <v>1165</v>
      </c>
      <c r="AA178" s="12" t="s">
        <v>1166</v>
      </c>
      <c r="AB178" s="3"/>
      <c r="AC178" s="8">
        <v>93314</v>
      </c>
      <c r="AD178" s="8">
        <v>1602889.801505818</v>
      </c>
      <c r="AE178" s="8">
        <v>415286.64468993357</v>
      </c>
      <c r="AF178" s="8">
        <f>VALUE(SUBSTITUTE(LEFT(Z178, FIND(" ", Z178) - 1), ",", ""))</f>
        <v>210281</v>
      </c>
      <c r="AG178" s="15">
        <f ca="1">(AF178/YEARFRAC(A178,TODAY())/P178)</f>
        <v>10527.209011264082</v>
      </c>
      <c r="AI178" s="8">
        <f>VALUE(SUBSTITUTE(LEFT(X178, FIND(" ", X178) - 1), ",", ""))</f>
        <v>218167</v>
      </c>
      <c r="AK178" s="20" t="str">
        <f>IF(AI178&gt;AC178, "YES","")</f>
        <v>YES</v>
      </c>
    </row>
    <row r="179" spans="1:37" x14ac:dyDescent="0.25">
      <c r="A179" s="5">
        <v>45512</v>
      </c>
      <c r="B179" s="3" t="s">
        <v>58</v>
      </c>
      <c r="C179" s="3">
        <v>39</v>
      </c>
      <c r="D179" s="3" t="s">
        <v>284</v>
      </c>
      <c r="E179" s="3" t="s">
        <v>33</v>
      </c>
      <c r="F179" s="3" t="s">
        <v>37</v>
      </c>
      <c r="G179" s="3" t="s">
        <v>44</v>
      </c>
      <c r="H179" s="3">
        <v>40</v>
      </c>
      <c r="I179" s="3" t="s">
        <v>50</v>
      </c>
      <c r="J179" s="3" t="s">
        <v>33</v>
      </c>
      <c r="K179" s="3" t="s">
        <v>34</v>
      </c>
      <c r="L179" s="3" t="s">
        <v>38</v>
      </c>
      <c r="M179" s="3">
        <v>0.8</v>
      </c>
      <c r="N179" s="3">
        <v>206</v>
      </c>
      <c r="O179" s="3">
        <v>127.8</v>
      </c>
      <c r="P179" s="3">
        <v>144.69999999999999</v>
      </c>
      <c r="Q179" s="8">
        <v>5000000</v>
      </c>
      <c r="R179" s="8">
        <v>6285972</v>
      </c>
      <c r="S179" s="8">
        <v>-804971</v>
      </c>
      <c r="T179" s="3">
        <v>81</v>
      </c>
      <c r="U179" s="3">
        <v>204</v>
      </c>
      <c r="V179" s="3"/>
      <c r="W179" s="8">
        <v>-404048</v>
      </c>
      <c r="X179" s="3" t="s">
        <v>473</v>
      </c>
      <c r="Y179" s="3" t="s">
        <v>474</v>
      </c>
      <c r="Z179" s="3" t="s">
        <v>475</v>
      </c>
      <c r="AA179" s="3" t="s">
        <v>476</v>
      </c>
      <c r="AB179" s="3"/>
      <c r="AC179" s="8">
        <v>63900</v>
      </c>
      <c r="AD179" s="8">
        <v>423705.56313757697</v>
      </c>
      <c r="AE179" s="8">
        <v>423705.56313757697</v>
      </c>
      <c r="AF179" s="8">
        <f>VALUE(SUBSTITUTE(LEFT(Z179, FIND(" ", Z179) - 1), ",", ""))</f>
        <v>327873</v>
      </c>
      <c r="AG179" s="15">
        <f ca="1">(AF179/YEARFRAC(A179,TODAY())/P179)</f>
        <v>1695.8777713442539</v>
      </c>
      <c r="AI179" s="8">
        <f>VALUE(SUBSTITUTE(LEFT(X179, FIND(" ", X179) - 1), ",", ""))</f>
        <v>336208</v>
      </c>
      <c r="AK179" s="20" t="str">
        <f>IF(AI179&gt;AC179, "YES","")</f>
        <v>YES</v>
      </c>
    </row>
    <row r="180" spans="1:37" x14ac:dyDescent="0.25">
      <c r="A180" s="5">
        <v>45511</v>
      </c>
      <c r="B180" s="3" t="s">
        <v>58</v>
      </c>
      <c r="C180" s="3">
        <v>39</v>
      </c>
      <c r="D180" s="3" t="s">
        <v>284</v>
      </c>
      <c r="E180" s="3" t="s">
        <v>33</v>
      </c>
      <c r="F180" s="3" t="s">
        <v>37</v>
      </c>
      <c r="G180" s="3" t="s">
        <v>44</v>
      </c>
      <c r="H180" s="3">
        <v>40</v>
      </c>
      <c r="I180" s="3" t="s">
        <v>50</v>
      </c>
      <c r="J180" s="3" t="s">
        <v>33</v>
      </c>
      <c r="K180" s="3" t="s">
        <v>34</v>
      </c>
      <c r="L180" s="3" t="s">
        <v>38</v>
      </c>
      <c r="M180" s="3">
        <v>0.8</v>
      </c>
      <c r="N180" s="3">
        <v>214.1</v>
      </c>
      <c r="O180" s="3">
        <v>158.5</v>
      </c>
      <c r="P180" s="3">
        <v>118.5</v>
      </c>
      <c r="Q180" s="8">
        <v>5000000</v>
      </c>
      <c r="R180" s="8">
        <v>6279813</v>
      </c>
      <c r="S180" s="8">
        <v>-796434</v>
      </c>
      <c r="T180" s="3">
        <v>74</v>
      </c>
      <c r="U180" s="3">
        <v>205</v>
      </c>
      <c r="V180" s="3"/>
      <c r="W180" s="8">
        <v>-403767</v>
      </c>
      <c r="X180" s="3" t="s">
        <v>843</v>
      </c>
      <c r="Y180" s="3" t="s">
        <v>844</v>
      </c>
      <c r="Z180" s="3" t="s">
        <v>845</v>
      </c>
      <c r="AA180" s="3" t="s">
        <v>846</v>
      </c>
      <c r="AB180" s="3"/>
      <c r="AC180" s="8">
        <v>79250</v>
      </c>
      <c r="AD180" s="8">
        <v>437927.23267351132</v>
      </c>
      <c r="AE180" s="8">
        <v>437927.23267351132</v>
      </c>
      <c r="AF180" s="8">
        <f>VALUE(SUBSTITUTE(LEFT(Z180, FIND(" ", Z180) - 1), ",", ""))</f>
        <v>339737</v>
      </c>
      <c r="AG180" s="15">
        <f ca="1">(AF180/YEARFRAC(A180,TODAY())/P180)</f>
        <v>2141.3120436997742</v>
      </c>
      <c r="AI180" s="8">
        <f>VALUE(SUBSTITUTE(LEFT(X180, FIND(" ", X180) - 1), ",", ""))</f>
        <v>348043</v>
      </c>
      <c r="AK180" s="20" t="str">
        <f>IF(AI180&gt;AC180, "YES","")</f>
        <v>YES</v>
      </c>
    </row>
    <row r="181" spans="1:37" hidden="1" x14ac:dyDescent="0.25">
      <c r="A181" s="5">
        <v>44636</v>
      </c>
      <c r="B181" s="3" t="s">
        <v>35</v>
      </c>
      <c r="C181" s="3">
        <v>35</v>
      </c>
      <c r="D181" s="3" t="s">
        <v>43</v>
      </c>
      <c r="E181" s="3" t="s">
        <v>33</v>
      </c>
      <c r="F181" s="3" t="s">
        <v>37</v>
      </c>
      <c r="G181" s="3" t="s">
        <v>44</v>
      </c>
      <c r="H181" s="3">
        <v>35</v>
      </c>
      <c r="I181" s="3" t="s">
        <v>43</v>
      </c>
      <c r="J181" s="3" t="s">
        <v>33</v>
      </c>
      <c r="K181" s="3" t="s">
        <v>34</v>
      </c>
      <c r="L181" s="3" t="s">
        <v>118</v>
      </c>
      <c r="M181" s="3">
        <v>0.22</v>
      </c>
      <c r="N181" s="3">
        <v>-11</v>
      </c>
      <c r="O181" s="3">
        <v>41.4</v>
      </c>
      <c r="P181" s="3">
        <v>572.79999999999995</v>
      </c>
      <c r="Q181" s="8">
        <v>40000000</v>
      </c>
      <c r="R181" s="8">
        <v>184543775</v>
      </c>
      <c r="S181" s="8">
        <v>-468834</v>
      </c>
      <c r="T181" s="3">
        <v>324</v>
      </c>
      <c r="U181" s="3">
        <v>67</v>
      </c>
      <c r="V181" s="3"/>
      <c r="W181" s="8">
        <v>3713705</v>
      </c>
      <c r="X181" s="3" t="s">
        <v>119</v>
      </c>
      <c r="Y181" s="3" t="s">
        <v>120</v>
      </c>
      <c r="Z181" s="3" t="s">
        <v>121</v>
      </c>
      <c r="AA181" s="3" t="s">
        <v>42</v>
      </c>
      <c r="AB181" s="3"/>
      <c r="AC181" s="8">
        <v>165600</v>
      </c>
      <c r="AD181" s="8">
        <v>-253880.33833675549</v>
      </c>
      <c r="AE181" s="8">
        <v>452111.82806304097</v>
      </c>
      <c r="AF181" s="8">
        <f>VALUE(SUBSTITUTE(LEFT(Z181, FIND(" ", Z181) - 1), ",", ""))</f>
        <v>1087321</v>
      </c>
      <c r="AG181" s="15">
        <f ca="1">(AF181/YEARFRAC(A181,TODAY())/P181)</f>
        <v>508.84001256255289</v>
      </c>
      <c r="AI181" s="8">
        <f>VALUE(SUBSTITUTE(LEFT(X181, FIND(" ", X181) - 1), ",", ""))</f>
        <v>1395192</v>
      </c>
      <c r="AK181" s="20" t="str">
        <f>IF(AI181&gt;AC181, "YES","")</f>
        <v>YES</v>
      </c>
    </row>
    <row r="182" spans="1:37" x14ac:dyDescent="0.25">
      <c r="A182" s="5">
        <v>45512</v>
      </c>
      <c r="B182" s="3" t="s">
        <v>58</v>
      </c>
      <c r="C182" s="3">
        <v>39</v>
      </c>
      <c r="D182" s="3" t="s">
        <v>36</v>
      </c>
      <c r="E182" s="3" t="s">
        <v>33</v>
      </c>
      <c r="F182" s="3" t="s">
        <v>37</v>
      </c>
      <c r="G182" s="3" t="s">
        <v>58</v>
      </c>
      <c r="H182" s="3">
        <v>41</v>
      </c>
      <c r="I182" s="3" t="s">
        <v>68</v>
      </c>
      <c r="J182" s="3" t="s">
        <v>33</v>
      </c>
      <c r="K182" s="3" t="s">
        <v>34</v>
      </c>
      <c r="L182" s="3" t="s">
        <v>38</v>
      </c>
      <c r="M182" s="3">
        <v>5.34</v>
      </c>
      <c r="N182" s="3">
        <v>71.400000000000006</v>
      </c>
      <c r="O182" s="3">
        <v>58.8</v>
      </c>
      <c r="P182" s="3">
        <v>107.8</v>
      </c>
      <c r="Q182" s="8">
        <v>15000000</v>
      </c>
      <c r="R182" s="8">
        <v>2809778</v>
      </c>
      <c r="S182" s="8">
        <v>-1738675</v>
      </c>
      <c r="T182" s="3">
        <v>17</v>
      </c>
      <c r="U182" s="3">
        <v>439</v>
      </c>
      <c r="V182" s="3"/>
      <c r="W182" s="8">
        <v>-1738675</v>
      </c>
      <c r="X182" s="3" t="s">
        <v>485</v>
      </c>
      <c r="Y182" s="3" t="s">
        <v>486</v>
      </c>
      <c r="Z182" s="3" t="s">
        <v>487</v>
      </c>
      <c r="AA182" s="3" t="s">
        <v>42</v>
      </c>
      <c r="AB182" s="3"/>
      <c r="AC182" s="8">
        <v>88200</v>
      </c>
      <c r="AD182" s="8">
        <v>452847.53031895967</v>
      </c>
      <c r="AE182" s="8">
        <v>452847.53031895967</v>
      </c>
      <c r="AF182" s="8">
        <f>VALUE(SUBSTITUTE(LEFT(Z182, FIND(" ", Z182) - 1), ",", ""))</f>
        <v>500250</v>
      </c>
      <c r="AG182" s="15">
        <f ca="1">(AF182/YEARFRAC(A182,TODAY())/P182)</f>
        <v>3473.1677588820448</v>
      </c>
      <c r="AI182" s="8">
        <f>VALUE(SUBSTITUTE(LEFT(X182, FIND(" ", X182) - 1), ",", ""))</f>
        <v>500586</v>
      </c>
      <c r="AK182" s="20" t="str">
        <f>IF(AI182&gt;AC182, "YES","")</f>
        <v>YES</v>
      </c>
    </row>
    <row r="183" spans="1:37" x14ac:dyDescent="0.25">
      <c r="A183" s="5">
        <v>44397</v>
      </c>
      <c r="B183" s="3" t="s">
        <v>31</v>
      </c>
      <c r="C183" s="3">
        <v>36</v>
      </c>
      <c r="D183" s="3" t="s">
        <v>43</v>
      </c>
      <c r="E183" s="3" t="s">
        <v>33</v>
      </c>
      <c r="F183" s="3" t="s">
        <v>37</v>
      </c>
      <c r="G183" s="3" t="s">
        <v>44</v>
      </c>
      <c r="H183" s="3">
        <v>34</v>
      </c>
      <c r="I183" s="3" t="s">
        <v>45</v>
      </c>
      <c r="J183" s="3" t="s">
        <v>33</v>
      </c>
      <c r="K183" s="3" t="s">
        <v>34</v>
      </c>
      <c r="L183" s="3" t="s">
        <v>38</v>
      </c>
      <c r="M183" s="3">
        <v>0.71</v>
      </c>
      <c r="N183" s="3">
        <v>57.7</v>
      </c>
      <c r="O183" s="3">
        <v>66.5</v>
      </c>
      <c r="P183" s="3">
        <v>277.89999999999998</v>
      </c>
      <c r="Q183" s="8">
        <v>14165820</v>
      </c>
      <c r="R183" s="8">
        <v>20000000</v>
      </c>
      <c r="S183" s="8">
        <v>-42699</v>
      </c>
      <c r="T183" s="3">
        <v>50</v>
      </c>
      <c r="U183" s="3">
        <v>68</v>
      </c>
      <c r="V183" s="3"/>
      <c r="W183" s="8">
        <v>183708</v>
      </c>
      <c r="X183" s="3" t="s">
        <v>46</v>
      </c>
      <c r="Y183" s="3" t="s">
        <v>47</v>
      </c>
      <c r="Z183" s="3" t="s">
        <v>48</v>
      </c>
      <c r="AA183" s="3" t="s">
        <v>42</v>
      </c>
      <c r="AB183" s="3"/>
      <c r="AC183" s="8">
        <v>94202.702999999994</v>
      </c>
      <c r="AD183" s="8">
        <v>252689.7642710472</v>
      </c>
      <c r="AE183" s="8">
        <v>455249.15791582689</v>
      </c>
      <c r="AF183" s="8">
        <f>VALUE(SUBSTITUTE(LEFT(Z183, FIND(" ", Z183) - 1), ",", ""))</f>
        <v>392973</v>
      </c>
      <c r="AG183" s="15">
        <f ca="1">(AF183/YEARFRAC(A183,TODAY())/P183)</f>
        <v>322.39963117938055</v>
      </c>
      <c r="AI183" s="8">
        <f>VALUE(SUBSTITUTE(LEFT(X183, FIND(" ", X183) - 1), ",", ""))</f>
        <v>401512</v>
      </c>
      <c r="AK183" s="20" t="str">
        <f>IF(AI183&gt;AC183, "YES","")</f>
        <v>YES</v>
      </c>
    </row>
    <row r="184" spans="1:37" x14ac:dyDescent="0.25">
      <c r="A184" s="5">
        <v>45386</v>
      </c>
      <c r="B184" s="3" t="s">
        <v>35</v>
      </c>
      <c r="C184" s="3">
        <v>41</v>
      </c>
      <c r="D184" s="3" t="s">
        <v>43</v>
      </c>
      <c r="E184" s="3" t="s">
        <v>33</v>
      </c>
      <c r="F184" s="3" t="s">
        <v>34</v>
      </c>
      <c r="G184" s="3" t="s">
        <v>44</v>
      </c>
      <c r="H184" s="3">
        <v>40</v>
      </c>
      <c r="I184" s="3" t="s">
        <v>43</v>
      </c>
      <c r="J184" s="3" t="s">
        <v>33</v>
      </c>
      <c r="K184" s="3" t="s">
        <v>37</v>
      </c>
      <c r="L184" s="3" t="s">
        <v>38</v>
      </c>
      <c r="M184" s="3">
        <v>0.17</v>
      </c>
      <c r="N184" s="3">
        <v>8.6</v>
      </c>
      <c r="O184" s="3">
        <v>21.4</v>
      </c>
      <c r="P184" s="3">
        <v>394.3</v>
      </c>
      <c r="Q184" s="8">
        <v>37574671</v>
      </c>
      <c r="R184" s="8">
        <v>215000000</v>
      </c>
      <c r="S184" s="8">
        <v>-1047906</v>
      </c>
      <c r="T184" s="3">
        <v>295</v>
      </c>
      <c r="U184" s="3">
        <v>50</v>
      </c>
      <c r="V184" s="3"/>
      <c r="W184" s="8">
        <v>-116348</v>
      </c>
      <c r="X184" s="3" t="s">
        <v>1024</v>
      </c>
      <c r="Y184" s="3" t="s">
        <v>1025</v>
      </c>
      <c r="Z184" s="3" t="s">
        <v>1026</v>
      </c>
      <c r="AA184" s="3"/>
      <c r="AB184" s="3"/>
      <c r="AC184" s="8">
        <v>80409.795939999996</v>
      </c>
      <c r="AD184" s="22">
        <v>709953.91631348338</v>
      </c>
      <c r="AE184" s="23">
        <v>467218.40414286312</v>
      </c>
      <c r="AF184" s="21">
        <f>VALUE(SUBSTITUTE(LEFT(Z184, FIND(" ", Z184) - 1), ",", ""))</f>
        <v>-101981</v>
      </c>
      <c r="AG184" s="15">
        <f ca="1">(AF184/YEARFRAC(A184,TODAY())/P184)</f>
        <v>-153.90035275401746</v>
      </c>
      <c r="AI184" s="8">
        <f>VALUE(SUBSTITUTE(LEFT(X184, FIND(" ", X184) - 1), ",", ""))</f>
        <v>1768032</v>
      </c>
      <c r="AK184" s="20" t="str">
        <f>IF(AI184&gt;AC184, "YES","")</f>
        <v>YES</v>
      </c>
    </row>
    <row r="185" spans="1:37" x14ac:dyDescent="0.25">
      <c r="A185" s="5">
        <v>45401</v>
      </c>
      <c r="B185" s="3" t="s">
        <v>35</v>
      </c>
      <c r="C185" s="3">
        <v>40</v>
      </c>
      <c r="D185" s="3" t="s">
        <v>43</v>
      </c>
      <c r="E185" s="3" t="s">
        <v>33</v>
      </c>
      <c r="F185" s="3" t="s">
        <v>34</v>
      </c>
      <c r="G185" s="3" t="s">
        <v>35</v>
      </c>
      <c r="H185" s="3">
        <v>40</v>
      </c>
      <c r="I185" s="3" t="s">
        <v>36</v>
      </c>
      <c r="J185" s="3" t="s">
        <v>33</v>
      </c>
      <c r="K185" s="3" t="s">
        <v>37</v>
      </c>
      <c r="L185" s="3" t="s">
        <v>38</v>
      </c>
      <c r="M185" s="3">
        <v>0.69</v>
      </c>
      <c r="N185" s="3">
        <v>217.9</v>
      </c>
      <c r="O185" s="3">
        <v>40.5</v>
      </c>
      <c r="P185" s="3">
        <v>104.1</v>
      </c>
      <c r="Q185" s="8">
        <v>24130174</v>
      </c>
      <c r="R185" s="8">
        <v>35000000</v>
      </c>
      <c r="S185" s="8">
        <v>-4652067</v>
      </c>
      <c r="T185" s="3">
        <v>341</v>
      </c>
      <c r="U185" s="3">
        <v>84</v>
      </c>
      <c r="V185" s="3"/>
      <c r="W185" s="8">
        <v>-4329570</v>
      </c>
      <c r="X185" s="3" t="s">
        <v>680</v>
      </c>
      <c r="Y185" s="3" t="s">
        <v>681</v>
      </c>
      <c r="Z185" s="3" t="s">
        <v>682</v>
      </c>
      <c r="AA185" s="3" t="s">
        <v>683</v>
      </c>
      <c r="AB185" s="3"/>
      <c r="AC185" s="8">
        <v>97727.204699999987</v>
      </c>
      <c r="AD185" s="8">
        <v>2470086.8456684458</v>
      </c>
      <c r="AE185" s="8">
        <v>469522.61531907303</v>
      </c>
      <c r="AF185" s="8">
        <f>VALUE(SUBSTITUTE(LEFT(Z185, FIND(" ", Z185) - 1), ",", ""))</f>
        <v>1357166</v>
      </c>
      <c r="AG185" s="15">
        <f ca="1">(AF185/YEARFRAC(A185,TODAY())/P185)</f>
        <v>7954.8634787280816</v>
      </c>
      <c r="AI185" s="8">
        <f>VALUE(SUBSTITUTE(LEFT(X185, FIND(" ", X185) - 1), ",", ""))</f>
        <v>1375383</v>
      </c>
      <c r="AK185" s="20" t="str">
        <f>IF(AI185&gt;AC185, "YES","")</f>
        <v>YES</v>
      </c>
    </row>
    <row r="186" spans="1:37" x14ac:dyDescent="0.25">
      <c r="A186" s="5">
        <v>45398</v>
      </c>
      <c r="B186" s="3" t="s">
        <v>35</v>
      </c>
      <c r="C186" s="3">
        <v>40</v>
      </c>
      <c r="D186" s="3" t="s">
        <v>43</v>
      </c>
      <c r="E186" s="3" t="s">
        <v>33</v>
      </c>
      <c r="F186" s="3" t="s">
        <v>34</v>
      </c>
      <c r="G186" s="3" t="s">
        <v>35</v>
      </c>
      <c r="H186" s="3">
        <v>40</v>
      </c>
      <c r="I186" s="3" t="s">
        <v>36</v>
      </c>
      <c r="J186" s="3" t="s">
        <v>33</v>
      </c>
      <c r="K186" s="3" t="s">
        <v>37</v>
      </c>
      <c r="L186" s="3" t="s">
        <v>38</v>
      </c>
      <c r="M186" s="3">
        <v>0.69</v>
      </c>
      <c r="N186" s="3">
        <v>219.3</v>
      </c>
      <c r="O186" s="3">
        <v>48.8</v>
      </c>
      <c r="P186" s="3">
        <v>88.1</v>
      </c>
      <c r="Q186" s="8">
        <v>24135147</v>
      </c>
      <c r="R186" s="8">
        <v>35000000</v>
      </c>
      <c r="S186" s="8">
        <v>-4655047</v>
      </c>
      <c r="T186" s="3">
        <v>348</v>
      </c>
      <c r="U186" s="3">
        <v>89</v>
      </c>
      <c r="V186" s="3"/>
      <c r="W186" s="8">
        <v>-4257395</v>
      </c>
      <c r="X186" s="3" t="s">
        <v>426</v>
      </c>
      <c r="Y186" s="3" t="s">
        <v>427</v>
      </c>
      <c r="Z186" s="3" t="s">
        <v>428</v>
      </c>
      <c r="AA186" s="3" t="s">
        <v>429</v>
      </c>
      <c r="AB186" s="3"/>
      <c r="AC186" s="8">
        <v>117779.51736</v>
      </c>
      <c r="AD186" s="8">
        <v>2472391.3061201908</v>
      </c>
      <c r="AE186" s="8">
        <v>469913.06501885707</v>
      </c>
      <c r="AF186" s="8">
        <f>VALUE(SUBSTITUTE(LEFT(Z186, FIND(" ", Z186) - 1), ",", ""))</f>
        <v>1366028</v>
      </c>
      <c r="AG186" s="15">
        <f ca="1">(AF186/YEARFRAC(A186,TODAY())/P186)</f>
        <v>9413.074595211252</v>
      </c>
      <c r="AI186" s="8">
        <f>VALUE(SUBSTITUTE(LEFT(X186, FIND(" ", X186) - 1), ",", ""))</f>
        <v>1384220</v>
      </c>
      <c r="AK186" s="20" t="str">
        <f>IF(AI186&gt;AC186, "YES","")</f>
        <v>YES</v>
      </c>
    </row>
    <row r="187" spans="1:37" x14ac:dyDescent="0.25">
      <c r="A187" s="17">
        <v>45757</v>
      </c>
      <c r="B187" s="12" t="s">
        <v>31</v>
      </c>
      <c r="C187" s="12">
        <v>43</v>
      </c>
      <c r="D187" s="12" t="s">
        <v>32</v>
      </c>
      <c r="E187" s="12" t="s">
        <v>33</v>
      </c>
      <c r="F187" s="12" t="s">
        <v>34</v>
      </c>
      <c r="G187" s="12" t="s">
        <v>58</v>
      </c>
      <c r="H187" s="12">
        <v>41</v>
      </c>
      <c r="I187" s="12" t="s">
        <v>284</v>
      </c>
      <c r="J187" s="12" t="s">
        <v>33</v>
      </c>
      <c r="K187" s="12" t="s">
        <v>37</v>
      </c>
      <c r="L187" s="12" t="s">
        <v>38</v>
      </c>
      <c r="M187" s="12">
        <v>1.25</v>
      </c>
      <c r="N187" s="12">
        <v>129.5</v>
      </c>
      <c r="O187" s="12">
        <v>82.3</v>
      </c>
      <c r="P187" s="12">
        <v>162</v>
      </c>
      <c r="Q187" s="16">
        <v>6241542</v>
      </c>
      <c r="R187" s="16">
        <v>5000000</v>
      </c>
      <c r="S187" s="16">
        <v>-846382</v>
      </c>
      <c r="T187" s="12">
        <v>277</v>
      </c>
      <c r="U187" s="12">
        <v>184</v>
      </c>
      <c r="V187" s="12"/>
      <c r="W187" s="16">
        <v>-716141</v>
      </c>
      <c r="X187" s="12" t="s">
        <v>1075</v>
      </c>
      <c r="Y187" s="12" t="s">
        <v>1076</v>
      </c>
      <c r="Z187" s="12" t="s">
        <v>1077</v>
      </c>
      <c r="AA187" s="12" t="s">
        <v>1078</v>
      </c>
      <c r="AB187" s="3"/>
      <c r="AC187" s="8">
        <v>51367.890659999997</v>
      </c>
      <c r="AD187" s="8">
        <v>471752.42568377842</v>
      </c>
      <c r="AE187" s="8">
        <v>471752.42568377842</v>
      </c>
      <c r="AF187" s="8">
        <f>VALUE(SUBSTITUTE(LEFT(Z187, FIND(" ", Z187) - 1), ",", ""))</f>
        <v>173928</v>
      </c>
      <c r="AG187" s="15">
        <f ca="1">(AF187/YEARFRAC(A187,TODAY())/P187)</f>
        <v>1617.1827057182707</v>
      </c>
      <c r="AI187" s="8">
        <f>VALUE(SUBSTITUTE(LEFT(X187, FIND(" ", X187) - 1), ",", ""))</f>
        <v>178432</v>
      </c>
      <c r="AK187" s="20" t="str">
        <f>IF(AI187&gt;AC187, "YES","")</f>
        <v>YES</v>
      </c>
    </row>
    <row r="188" spans="1:37" x14ac:dyDescent="0.25">
      <c r="A188" s="17">
        <v>45757</v>
      </c>
      <c r="B188" s="12" t="s">
        <v>35</v>
      </c>
      <c r="C188" s="12">
        <v>42</v>
      </c>
      <c r="D188" s="12" t="s">
        <v>36</v>
      </c>
      <c r="E188" s="12" t="s">
        <v>33</v>
      </c>
      <c r="F188" s="12" t="s">
        <v>37</v>
      </c>
      <c r="G188" s="12" t="s">
        <v>44</v>
      </c>
      <c r="H188" s="12">
        <v>42</v>
      </c>
      <c r="I188" s="12" t="s">
        <v>45</v>
      </c>
      <c r="J188" s="12" t="s">
        <v>33</v>
      </c>
      <c r="K188" s="12" t="s">
        <v>34</v>
      </c>
      <c r="L188" s="12" t="s">
        <v>38</v>
      </c>
      <c r="M188" s="12">
        <v>0.69</v>
      </c>
      <c r="N188" s="12">
        <v>97.8</v>
      </c>
      <c r="O188" s="12">
        <v>55.3</v>
      </c>
      <c r="P188" s="12">
        <v>168.5</v>
      </c>
      <c r="Q188" s="16">
        <v>13717046</v>
      </c>
      <c r="R188" s="16">
        <v>20000000</v>
      </c>
      <c r="S188" s="16">
        <v>-2581726</v>
      </c>
      <c r="T188" s="12">
        <v>126</v>
      </c>
      <c r="U188" s="12">
        <v>138</v>
      </c>
      <c r="V188" s="12"/>
      <c r="W188" s="16">
        <v>-1850739</v>
      </c>
      <c r="X188" s="12" t="s">
        <v>1071</v>
      </c>
      <c r="Y188" s="12" t="s">
        <v>1072</v>
      </c>
      <c r="Z188" s="12" t="s">
        <v>1073</v>
      </c>
      <c r="AA188" s="12" t="s">
        <v>1074</v>
      </c>
      <c r="AB188" s="3"/>
      <c r="AC188" s="8">
        <v>75855.264379999993</v>
      </c>
      <c r="AD188" s="8">
        <v>484403.43048870628</v>
      </c>
      <c r="AE188" s="8">
        <v>484403.43048870628</v>
      </c>
      <c r="AF188" s="8">
        <f>VALUE(SUBSTITUTE(LEFT(Z188, FIND(" ", Z188) - 1), ",", ""))</f>
        <v>328560</v>
      </c>
      <c r="AG188" s="15">
        <f ca="1">(AF188/YEARFRAC(A188,TODAY())/P188)</f>
        <v>2937.1044038588084</v>
      </c>
      <c r="AI188" s="8">
        <f>VALUE(SUBSTITUTE(LEFT(X188, FIND(" ", X188) - 1), ",", ""))</f>
        <v>328560</v>
      </c>
      <c r="AK188" s="20" t="str">
        <f>IF(AI188&gt;AC188, "YES","")</f>
        <v>YES</v>
      </c>
    </row>
    <row r="189" spans="1:37" x14ac:dyDescent="0.25">
      <c r="A189" s="5">
        <v>45744</v>
      </c>
      <c r="B189" s="20" t="s">
        <v>58</v>
      </c>
      <c r="C189" s="20">
        <v>41</v>
      </c>
      <c r="D189" s="20" t="s">
        <v>284</v>
      </c>
      <c r="E189" s="20" t="s">
        <v>33</v>
      </c>
      <c r="F189" s="20" t="s">
        <v>37</v>
      </c>
      <c r="G189" s="20" t="s">
        <v>31</v>
      </c>
      <c r="H189" s="20">
        <v>43</v>
      </c>
      <c r="I189" s="20" t="s">
        <v>142</v>
      </c>
      <c r="J189" s="20" t="s">
        <v>33</v>
      </c>
      <c r="K189" s="20" t="s">
        <v>34</v>
      </c>
      <c r="L189" s="20" t="s">
        <v>38</v>
      </c>
      <c r="M189" s="20">
        <v>0.24</v>
      </c>
      <c r="N189" s="20">
        <v>205.9</v>
      </c>
      <c r="O189" s="20">
        <v>121.4</v>
      </c>
      <c r="P189" s="20">
        <v>178.1</v>
      </c>
      <c r="Q189" s="8">
        <v>5000000</v>
      </c>
      <c r="R189" s="8">
        <v>20558977</v>
      </c>
      <c r="S189" s="8">
        <v>-358265</v>
      </c>
      <c r="T189" s="20">
        <v>115</v>
      </c>
      <c r="U189" s="20">
        <v>72</v>
      </c>
      <c r="V189" s="20"/>
      <c r="W189" s="8">
        <v>-307695</v>
      </c>
      <c r="X189" s="20" t="s">
        <v>1009</v>
      </c>
      <c r="Y189" s="20" t="s">
        <v>1010</v>
      </c>
      <c r="Z189" s="20" t="s">
        <v>1011</v>
      </c>
      <c r="AA189" s="20" t="s">
        <v>1012</v>
      </c>
      <c r="AB189" s="3"/>
      <c r="AC189" s="8">
        <v>60700</v>
      </c>
      <c r="AD189" s="8">
        <v>485733.24638795352</v>
      </c>
      <c r="AE189" s="8">
        <v>485733.24638795352</v>
      </c>
      <c r="AF189" s="8">
        <f>VALUE(SUBSTITUTE(LEFT(Z189, FIND(" ", Z189) - 1), ",", ""))</f>
        <v>151439</v>
      </c>
      <c r="AG189" s="15">
        <f ca="1">(AF189/YEARFRAC(A189,TODAY())/P189)</f>
        <v>1219.5583751462427</v>
      </c>
      <c r="AI189" s="8">
        <f>VALUE(SUBSTITUTE(LEFT(X189, FIND(" ", X189) - 1), ",", ""))</f>
        <v>161241</v>
      </c>
      <c r="AK189" s="20" t="str">
        <f>IF(AI189&gt;AC189, "YES","")</f>
        <v>YES</v>
      </c>
    </row>
    <row r="190" spans="1:37" x14ac:dyDescent="0.25">
      <c r="A190" s="5">
        <v>44701</v>
      </c>
      <c r="B190" s="3" t="s">
        <v>31</v>
      </c>
      <c r="C190" s="3">
        <v>35</v>
      </c>
      <c r="D190" s="3" t="s">
        <v>142</v>
      </c>
      <c r="E190" s="3" t="s">
        <v>33</v>
      </c>
      <c r="F190" s="3" t="s">
        <v>37</v>
      </c>
      <c r="G190" s="3" t="s">
        <v>31</v>
      </c>
      <c r="H190" s="3">
        <v>37</v>
      </c>
      <c r="I190" s="3" t="s">
        <v>32</v>
      </c>
      <c r="J190" s="3" t="s">
        <v>33</v>
      </c>
      <c r="K190" s="3" t="s">
        <v>34</v>
      </c>
      <c r="L190" s="3" t="s">
        <v>38</v>
      </c>
      <c r="M190" s="3">
        <v>2.77</v>
      </c>
      <c r="N190" s="3">
        <v>56.8</v>
      </c>
      <c r="O190" s="3">
        <v>78.599999999999994</v>
      </c>
      <c r="P190" s="3">
        <v>80.099999999999994</v>
      </c>
      <c r="Q190" s="8">
        <v>15000000</v>
      </c>
      <c r="R190" s="8">
        <v>5411618</v>
      </c>
      <c r="S190" s="8">
        <v>-622450</v>
      </c>
      <c r="T190" s="3">
        <v>103</v>
      </c>
      <c r="U190" s="3">
        <v>423</v>
      </c>
      <c r="V190" s="3"/>
      <c r="W190" s="8">
        <v>-77747</v>
      </c>
      <c r="X190" s="3" t="s">
        <v>176</v>
      </c>
      <c r="Y190" s="3" t="s">
        <v>177</v>
      </c>
      <c r="Z190" s="3" t="s">
        <v>178</v>
      </c>
      <c r="AA190" s="3" t="s">
        <v>42</v>
      </c>
      <c r="AB190" s="3"/>
      <c r="AC190" s="8">
        <v>117900</v>
      </c>
      <c r="AD190" s="8">
        <v>495637.68472279242</v>
      </c>
      <c r="AE190" s="8">
        <v>495637.68472279242</v>
      </c>
      <c r="AF190" s="8">
        <f>VALUE(SUBSTITUTE(LEFT(Z190, FIND(" ", Z190) - 1), ",", ""))</f>
        <v>515660</v>
      </c>
      <c r="AG190" s="15">
        <f ca="1">(AF190/YEARFRAC(A190,TODAY())/P190)</f>
        <v>1812.0195728755791</v>
      </c>
      <c r="AI190" s="8">
        <f>VALUE(SUBSTITUTE(LEFT(X190, FIND(" ", X190) - 1), ",", ""))</f>
        <v>515697</v>
      </c>
      <c r="AK190" s="20" t="str">
        <f>IF(AI190&gt;AC190, "YES","")</f>
        <v>YES</v>
      </c>
    </row>
    <row r="191" spans="1:37" x14ac:dyDescent="0.25">
      <c r="A191" s="5">
        <v>45512</v>
      </c>
      <c r="B191" s="20" t="s">
        <v>58</v>
      </c>
      <c r="C191" s="20">
        <v>39</v>
      </c>
      <c r="D191" s="20" t="s">
        <v>68</v>
      </c>
      <c r="E191" s="20" t="s">
        <v>33</v>
      </c>
      <c r="F191" s="20" t="s">
        <v>37</v>
      </c>
      <c r="G191" s="20" t="s">
        <v>44</v>
      </c>
      <c r="H191" s="20">
        <v>40</v>
      </c>
      <c r="I191" s="20" t="s">
        <v>50</v>
      </c>
      <c r="J191" s="20" t="s">
        <v>33</v>
      </c>
      <c r="K191" s="20" t="s">
        <v>34</v>
      </c>
      <c r="L191" s="20" t="s">
        <v>38</v>
      </c>
      <c r="M191" s="20">
        <v>0.41</v>
      </c>
      <c r="N191" s="20">
        <v>271.2</v>
      </c>
      <c r="O191" s="20">
        <v>156.1</v>
      </c>
      <c r="P191" s="20">
        <v>171.7</v>
      </c>
      <c r="Q191" s="8">
        <v>4069930</v>
      </c>
      <c r="R191" s="8">
        <v>10000000</v>
      </c>
      <c r="S191" s="8">
        <v>-662404</v>
      </c>
      <c r="T191" s="20">
        <v>285</v>
      </c>
      <c r="U191" s="20">
        <v>204</v>
      </c>
      <c r="V191" s="20"/>
      <c r="W191" s="8">
        <v>23501</v>
      </c>
      <c r="X191" s="20" t="s">
        <v>469</v>
      </c>
      <c r="Y191" s="20" t="s">
        <v>470</v>
      </c>
      <c r="Z191" s="20" t="s">
        <v>471</v>
      </c>
      <c r="AA191" s="20" t="s">
        <v>472</v>
      </c>
      <c r="AB191" s="3"/>
      <c r="AC191" s="8">
        <v>63531.607300000003</v>
      </c>
      <c r="AD191" s="8">
        <v>500546.46640657092</v>
      </c>
      <c r="AE191" s="8">
        <v>500546.46640657092</v>
      </c>
      <c r="AF191" s="8">
        <f>VALUE(SUBSTITUTE(LEFT(Z191, FIND(" ", Z191) - 1), ",", ""))</f>
        <v>325723</v>
      </c>
      <c r="AG191" s="15">
        <f ca="1">(AF191/YEARFRAC(A191,TODAY())/P191)</f>
        <v>1419.8274077132553</v>
      </c>
      <c r="AI191" s="8">
        <f>VALUE(SUBSTITUTE(LEFT(X191, FIND(" ", X191) - 1), ",", ""))</f>
        <v>341357</v>
      </c>
      <c r="AK191" s="20" t="str">
        <f>IF(AI191&gt;AC191, "YES","")</f>
        <v>YES</v>
      </c>
    </row>
    <row r="192" spans="1:37" x14ac:dyDescent="0.25">
      <c r="A192" s="17">
        <v>45737</v>
      </c>
      <c r="B192" s="12" t="s">
        <v>58</v>
      </c>
      <c r="C192" s="12">
        <v>43</v>
      </c>
      <c r="D192" s="12" t="s">
        <v>68</v>
      </c>
      <c r="E192" s="12" t="s">
        <v>33</v>
      </c>
      <c r="F192" s="12" t="s">
        <v>34</v>
      </c>
      <c r="G192" s="12" t="s">
        <v>58</v>
      </c>
      <c r="H192" s="12">
        <v>41</v>
      </c>
      <c r="I192" s="12" t="s">
        <v>68</v>
      </c>
      <c r="J192" s="12" t="s">
        <v>33</v>
      </c>
      <c r="K192" s="12" t="s">
        <v>37</v>
      </c>
      <c r="L192" s="12" t="s">
        <v>38</v>
      </c>
      <c r="M192" s="12">
        <v>1.1100000000000001</v>
      </c>
      <c r="N192" s="12">
        <v>142.6</v>
      </c>
      <c r="O192" s="12">
        <v>121.7</v>
      </c>
      <c r="P192" s="12">
        <v>188.5</v>
      </c>
      <c r="Q192" s="16">
        <v>5000000</v>
      </c>
      <c r="R192" s="16">
        <v>4500000</v>
      </c>
      <c r="S192" s="16">
        <v>-160325</v>
      </c>
      <c r="T192" s="12">
        <v>447</v>
      </c>
      <c r="U192" s="12">
        <v>325</v>
      </c>
      <c r="V192" s="12"/>
      <c r="W192" s="16">
        <v>480805</v>
      </c>
      <c r="X192" s="12" t="s">
        <v>1117</v>
      </c>
      <c r="Y192" s="12" t="s">
        <v>1118</v>
      </c>
      <c r="Z192" s="12" t="s">
        <v>1119</v>
      </c>
      <c r="AA192" s="12" t="s">
        <v>1120</v>
      </c>
      <c r="AB192" s="3"/>
      <c r="AC192" s="8">
        <v>60850</v>
      </c>
      <c r="AD192" s="8">
        <v>513100.61601642688</v>
      </c>
      <c r="AE192" s="8">
        <v>513100.61601642688</v>
      </c>
      <c r="AF192" s="8">
        <f>VALUE(SUBSTITUTE(LEFT(Z192, FIND(" ", Z192) - 1), ",", ""))</f>
        <v>149871</v>
      </c>
      <c r="AG192" s="15">
        <f ca="1">(AF192/YEARFRAC(A192,TODAY())/P192)</f>
        <v>1109.4022577262353</v>
      </c>
      <c r="AI192" s="8">
        <f>VALUE(SUBSTITUTE(LEFT(X192, FIND(" ", X192) - 1), ",", ""))</f>
        <v>193446</v>
      </c>
      <c r="AK192" s="20" t="str">
        <f>IF(AI192&gt;AC192, "YES","")</f>
        <v>YES</v>
      </c>
    </row>
    <row r="193" spans="1:37" x14ac:dyDescent="0.25">
      <c r="A193" s="5">
        <v>45153</v>
      </c>
      <c r="B193" s="3" t="s">
        <v>35</v>
      </c>
      <c r="C193" s="3">
        <v>38</v>
      </c>
      <c r="D193" s="3" t="s">
        <v>43</v>
      </c>
      <c r="E193" s="3" t="s">
        <v>33</v>
      </c>
      <c r="F193" s="3" t="s">
        <v>34</v>
      </c>
      <c r="G193" s="3" t="s">
        <v>35</v>
      </c>
      <c r="H193" s="3">
        <v>38</v>
      </c>
      <c r="I193" s="3" t="s">
        <v>36</v>
      </c>
      <c r="J193" s="3" t="s">
        <v>33</v>
      </c>
      <c r="K193" s="3" t="s">
        <v>37</v>
      </c>
      <c r="L193" s="3" t="s">
        <v>38</v>
      </c>
      <c r="M193" s="3">
        <v>0.66</v>
      </c>
      <c r="N193" s="3">
        <v>238.5</v>
      </c>
      <c r="O193" s="3">
        <v>32.200000000000003</v>
      </c>
      <c r="P193" s="3">
        <v>129</v>
      </c>
      <c r="Q193" s="8">
        <v>22984633</v>
      </c>
      <c r="R193" s="8">
        <v>35000000</v>
      </c>
      <c r="S193" s="8">
        <v>-4743517</v>
      </c>
      <c r="T193" s="3">
        <v>378</v>
      </c>
      <c r="U193" s="3">
        <v>92</v>
      </c>
      <c r="V193" s="3"/>
      <c r="W193" s="8">
        <v>-4114894</v>
      </c>
      <c r="X193" s="3" t="s">
        <v>340</v>
      </c>
      <c r="Y193" s="3" t="s">
        <v>341</v>
      </c>
      <c r="Z193" s="3" t="s">
        <v>342</v>
      </c>
      <c r="AA193" s="3" t="s">
        <v>343</v>
      </c>
      <c r="AB193" s="3"/>
      <c r="AC193" s="8">
        <v>74010.518260000012</v>
      </c>
      <c r="AD193" s="8">
        <v>2377409.3752531148</v>
      </c>
      <c r="AE193" s="8">
        <v>529762.77449163864</v>
      </c>
      <c r="AF193" s="8">
        <f>VALUE(SUBSTITUTE(LEFT(Z193, FIND(" ", Z193) - 1), ",", ""))</f>
        <v>1685212</v>
      </c>
      <c r="AG193" s="15">
        <f ca="1">(AF193/YEARFRAC(A193,TODAY())/P193)</f>
        <v>5638.9894595951146</v>
      </c>
      <c r="AI193" s="8">
        <f>VALUE(SUBSTITUTE(LEFT(X193, FIND(" ", X193) - 1), ",", ""))</f>
        <v>1699799</v>
      </c>
      <c r="AK193" s="20" t="str">
        <f>IF(AI193&gt;AC193, "YES","")</f>
        <v>YES</v>
      </c>
    </row>
    <row r="194" spans="1:37" x14ac:dyDescent="0.25">
      <c r="A194" s="5">
        <v>45511</v>
      </c>
      <c r="B194" s="20" t="s">
        <v>58</v>
      </c>
      <c r="C194" s="20">
        <v>41</v>
      </c>
      <c r="D194" s="20" t="s">
        <v>68</v>
      </c>
      <c r="E194" s="20" t="s">
        <v>33</v>
      </c>
      <c r="F194" s="20" t="s">
        <v>34</v>
      </c>
      <c r="G194" s="20" t="s">
        <v>58</v>
      </c>
      <c r="H194" s="20">
        <v>39</v>
      </c>
      <c r="I194" s="20" t="s">
        <v>68</v>
      </c>
      <c r="J194" s="20" t="s">
        <v>33</v>
      </c>
      <c r="K194" s="20" t="s">
        <v>37</v>
      </c>
      <c r="L194" s="20" t="s">
        <v>38</v>
      </c>
      <c r="M194" s="20">
        <v>1.05</v>
      </c>
      <c r="N194" s="20">
        <v>186.8</v>
      </c>
      <c r="O194" s="20">
        <v>138</v>
      </c>
      <c r="P194" s="20">
        <v>187.9</v>
      </c>
      <c r="Q194" s="8">
        <v>5000000</v>
      </c>
      <c r="R194" s="8">
        <v>4771998</v>
      </c>
      <c r="S194" s="8">
        <v>-165592</v>
      </c>
      <c r="T194" s="20">
        <v>473</v>
      </c>
      <c r="U194" s="20">
        <v>301</v>
      </c>
      <c r="V194" s="20"/>
      <c r="W194" s="8">
        <v>-4546</v>
      </c>
      <c r="X194" s="20" t="s">
        <v>820</v>
      </c>
      <c r="Y194" s="20" t="s">
        <v>821</v>
      </c>
      <c r="Z194" s="20" t="s">
        <v>822</v>
      </c>
      <c r="AA194" s="20" t="s">
        <v>823</v>
      </c>
      <c r="AB194" s="3"/>
      <c r="AC194" s="8">
        <v>69000</v>
      </c>
      <c r="AD194" s="8">
        <v>549706.55180287466</v>
      </c>
      <c r="AE194" s="8">
        <v>549706.55180287466</v>
      </c>
      <c r="AF194" s="8">
        <f>VALUE(SUBSTITUTE(LEFT(Z194, FIND(" ", Z194) - 1), ",", ""))</f>
        <v>368682</v>
      </c>
      <c r="AG194" s="15">
        <f ca="1">(AF194/YEARFRAC(A194,TODAY())/P194)</f>
        <v>1465.4824341543022</v>
      </c>
      <c r="AI194" s="8">
        <f>VALUE(SUBSTITUTE(LEFT(X194, FIND(" ", X194) - 1), ",", ""))</f>
        <v>490999</v>
      </c>
      <c r="AK194" s="20" t="str">
        <f>IF(AI194&gt;AC194, "YES","")</f>
        <v>YES</v>
      </c>
    </row>
    <row r="195" spans="1:37" x14ac:dyDescent="0.25">
      <c r="A195" s="5">
        <v>45306</v>
      </c>
      <c r="B195" s="3" t="s">
        <v>57</v>
      </c>
      <c r="C195" s="3">
        <v>40</v>
      </c>
      <c r="D195" s="3" t="s">
        <v>43</v>
      </c>
      <c r="E195" s="3" t="s">
        <v>33</v>
      </c>
      <c r="F195" s="3" t="s">
        <v>34</v>
      </c>
      <c r="G195" s="3" t="s">
        <v>31</v>
      </c>
      <c r="H195" s="3">
        <v>39</v>
      </c>
      <c r="I195" s="3" t="s">
        <v>43</v>
      </c>
      <c r="J195" s="3" t="s">
        <v>33</v>
      </c>
      <c r="K195" s="3" t="s">
        <v>37</v>
      </c>
      <c r="L195" s="3" t="s">
        <v>38</v>
      </c>
      <c r="M195" s="3">
        <v>0.35</v>
      </c>
      <c r="N195" s="3">
        <v>0</v>
      </c>
      <c r="O195" s="3">
        <v>28.7</v>
      </c>
      <c r="P195" s="3">
        <v>85444.5</v>
      </c>
      <c r="Q195" s="8">
        <v>48786071</v>
      </c>
      <c r="R195" s="8">
        <v>140000000</v>
      </c>
      <c r="S195" s="8">
        <v>-2989941</v>
      </c>
      <c r="T195" s="3">
        <v>131</v>
      </c>
      <c r="U195" s="3">
        <v>45</v>
      </c>
      <c r="V195" s="3"/>
      <c r="W195" s="8">
        <v>-2096558</v>
      </c>
      <c r="X195" s="3" t="s">
        <v>368</v>
      </c>
      <c r="Y195" s="3" t="s">
        <v>369</v>
      </c>
      <c r="Z195" s="3" t="s">
        <v>370</v>
      </c>
      <c r="AA195" s="3" t="s">
        <v>42</v>
      </c>
      <c r="AB195" s="3"/>
      <c r="AC195" s="8">
        <v>140016.02377</v>
      </c>
      <c r="AD195" s="8">
        <v>676152.36607830226</v>
      </c>
      <c r="AE195" s="8">
        <v>552503.13131546695</v>
      </c>
      <c r="AF195" s="8">
        <f>VALUE(SUBSTITUTE(LEFT(Z195, FIND(" ", Z195) - 1), ",", ""))</f>
        <v>763571</v>
      </c>
      <c r="AG195" s="15">
        <f ca="1">(AF195/YEARFRAC(A195,TODAY())/P195)</f>
        <v>4.7033978042379623</v>
      </c>
      <c r="AI195" s="8">
        <f>VALUE(SUBSTITUTE(LEFT(X195, FIND(" ", X195) - 1), ",", ""))</f>
        <v>1407996</v>
      </c>
      <c r="AK195" s="20" t="str">
        <f>IF(AI195&gt;AC195, "YES","")</f>
        <v>YES</v>
      </c>
    </row>
    <row r="196" spans="1:37" hidden="1" x14ac:dyDescent="0.25">
      <c r="A196" s="5">
        <v>45049</v>
      </c>
      <c r="B196" s="3" t="s">
        <v>58</v>
      </c>
      <c r="C196" s="3">
        <v>39</v>
      </c>
      <c r="D196" s="3" t="s">
        <v>68</v>
      </c>
      <c r="E196" s="3" t="s">
        <v>33</v>
      </c>
      <c r="F196" s="3" t="s">
        <v>34</v>
      </c>
      <c r="G196" s="3" t="s">
        <v>35</v>
      </c>
      <c r="H196" s="3">
        <v>39</v>
      </c>
      <c r="I196" s="3" t="s">
        <v>43</v>
      </c>
      <c r="J196" s="3" t="s">
        <v>33</v>
      </c>
      <c r="K196" s="3" t="s">
        <v>37</v>
      </c>
      <c r="L196" s="3" t="s">
        <v>118</v>
      </c>
      <c r="M196" s="3">
        <v>0.55000000000000004</v>
      </c>
      <c r="N196" s="3">
        <v>-10.5</v>
      </c>
      <c r="O196" s="3">
        <v>150.9</v>
      </c>
      <c r="P196" s="3">
        <v>1179.5</v>
      </c>
      <c r="Q196" s="8">
        <v>5000000</v>
      </c>
      <c r="R196" s="8">
        <v>9107886</v>
      </c>
      <c r="S196" s="8">
        <v>-793699</v>
      </c>
      <c r="T196" s="3">
        <v>810</v>
      </c>
      <c r="U196" s="3">
        <v>450</v>
      </c>
      <c r="V196" s="3"/>
      <c r="W196" s="8">
        <v>117072</v>
      </c>
      <c r="X196" s="3" t="s">
        <v>289</v>
      </c>
      <c r="Y196" s="3" t="s">
        <v>290</v>
      </c>
      <c r="Z196" s="3" t="s">
        <v>291</v>
      </c>
      <c r="AA196" s="3" t="s">
        <v>42</v>
      </c>
      <c r="AB196" s="3"/>
      <c r="AC196" s="8">
        <v>75450</v>
      </c>
      <c r="AD196" s="8">
        <v>-227838.14168377829</v>
      </c>
      <c r="AE196" s="25">
        <v>557981.69855895313</v>
      </c>
      <c r="AF196" s="8">
        <f>VALUE(SUBSTITUTE(LEFT(Z196, FIND(" ", Z196) - 1), ",", ""))</f>
        <v>97843</v>
      </c>
      <c r="AG196" s="15">
        <f ca="1">(AF196/YEARFRAC(A196,TODAY())/P196)</f>
        <v>31.904979293703331</v>
      </c>
      <c r="AI196" s="8">
        <f>VALUE(SUBSTITUTE(LEFT(X196, FIND(" ", X196) - 1), ",", ""))</f>
        <v>1661679</v>
      </c>
      <c r="AK196" s="20" t="str">
        <f>IF(AI196&gt;AC196, "YES","")</f>
        <v>YES</v>
      </c>
    </row>
    <row r="197" spans="1:37" x14ac:dyDescent="0.25">
      <c r="A197" s="5">
        <v>45398</v>
      </c>
      <c r="B197" s="3" t="s">
        <v>35</v>
      </c>
      <c r="C197" s="3">
        <v>41</v>
      </c>
      <c r="D197" s="3" t="s">
        <v>43</v>
      </c>
      <c r="E197" s="3" t="s">
        <v>33</v>
      </c>
      <c r="F197" s="3" t="s">
        <v>34</v>
      </c>
      <c r="G197" s="3" t="s">
        <v>44</v>
      </c>
      <c r="H197" s="3">
        <v>40</v>
      </c>
      <c r="I197" s="3" t="s">
        <v>43</v>
      </c>
      <c r="J197" s="3" t="s">
        <v>33</v>
      </c>
      <c r="K197" s="3" t="s">
        <v>37</v>
      </c>
      <c r="L197" s="3" t="s">
        <v>38</v>
      </c>
      <c r="M197" s="3">
        <v>0.17</v>
      </c>
      <c r="N197" s="3">
        <v>9.1999999999999993</v>
      </c>
      <c r="O197" s="3">
        <v>30.4</v>
      </c>
      <c r="P197" s="3">
        <v>169.6</v>
      </c>
      <c r="Q197" s="8">
        <v>37609920</v>
      </c>
      <c r="R197" s="8">
        <v>215000000</v>
      </c>
      <c r="S197" s="8">
        <v>-1055454</v>
      </c>
      <c r="T197" s="3">
        <v>341</v>
      </c>
      <c r="U197" s="3">
        <v>58</v>
      </c>
      <c r="V197" s="3"/>
      <c r="W197" s="8">
        <v>257287</v>
      </c>
      <c r="X197" s="3" t="s">
        <v>409</v>
      </c>
      <c r="Y197" s="3" t="s">
        <v>410</v>
      </c>
      <c r="Z197" s="3" t="s">
        <v>411</v>
      </c>
      <c r="AA197" s="3"/>
      <c r="AB197" s="3"/>
      <c r="AC197" s="8">
        <v>114334.1568</v>
      </c>
      <c r="AD197" s="8">
        <v>805150.5334757017</v>
      </c>
      <c r="AE197" s="25">
        <v>558931.21555497264</v>
      </c>
      <c r="AF197" s="8">
        <f>VALUE(SUBSTITUTE(LEFT(Z197, FIND(" ", Z197) - 1), ",", ""))</f>
        <v>80348</v>
      </c>
      <c r="AG197" s="15">
        <f ca="1">(AF197/YEARFRAC(A197,TODAY())/P197)</f>
        <v>287.60539629005063</v>
      </c>
      <c r="AI197" s="8">
        <f>VALUE(SUBSTITUTE(LEFT(X197, FIND(" ", X197) - 1), ",", ""))</f>
        <v>1921122</v>
      </c>
      <c r="AK197" s="20" t="str">
        <f>IF(AI197&gt;AC197, "YES","")</f>
        <v>YES</v>
      </c>
    </row>
    <row r="198" spans="1:37" x14ac:dyDescent="0.25">
      <c r="A198" s="5">
        <v>44397</v>
      </c>
      <c r="B198" s="3" t="s">
        <v>31</v>
      </c>
      <c r="C198" s="3">
        <v>36</v>
      </c>
      <c r="D198" s="3" t="s">
        <v>43</v>
      </c>
      <c r="E198" s="3" t="s">
        <v>33</v>
      </c>
      <c r="F198" s="3" t="s">
        <v>37</v>
      </c>
      <c r="G198" s="3" t="s">
        <v>44</v>
      </c>
      <c r="H198" s="3">
        <v>34</v>
      </c>
      <c r="I198" s="3" t="s">
        <v>50</v>
      </c>
      <c r="J198" s="3" t="s">
        <v>33</v>
      </c>
      <c r="K198" s="3" t="s">
        <v>34</v>
      </c>
      <c r="L198" s="3" t="s">
        <v>38</v>
      </c>
      <c r="M198" s="3">
        <v>0.79</v>
      </c>
      <c r="N198" s="3">
        <v>155.4</v>
      </c>
      <c r="O198" s="3">
        <v>295.89999999999998</v>
      </c>
      <c r="P198" s="3">
        <v>129.6</v>
      </c>
      <c r="Q198" s="8">
        <v>7896106</v>
      </c>
      <c r="R198" s="8">
        <v>10000000</v>
      </c>
      <c r="S198" s="8">
        <v>-369191</v>
      </c>
      <c r="T198" s="3">
        <v>50</v>
      </c>
      <c r="U198" s="3">
        <v>146</v>
      </c>
      <c r="V198" s="3"/>
      <c r="W198" s="8">
        <v>-242428</v>
      </c>
      <c r="X198" s="3" t="s">
        <v>65</v>
      </c>
      <c r="Y198" s="3" t="s">
        <v>66</v>
      </c>
      <c r="Z198" s="3" t="s">
        <v>67</v>
      </c>
      <c r="AA198" s="3" t="s">
        <v>42</v>
      </c>
      <c r="AB198" s="3"/>
      <c r="AC198" s="8">
        <v>233645.77653999999</v>
      </c>
      <c r="AD198" s="8">
        <v>451025.23783709778</v>
      </c>
      <c r="AE198" s="8">
        <v>563932.95821720338</v>
      </c>
      <c r="AF198" s="8">
        <f>VALUE(SUBSTITUTE(LEFT(Z198, FIND(" ", Z198) - 1), ",", ""))</f>
        <v>523812</v>
      </c>
      <c r="AG198" s="15">
        <f ca="1">(AF198/YEARFRAC(A198,TODAY())/P198)</f>
        <v>921.49039476461905</v>
      </c>
      <c r="AI198" s="8">
        <f>VALUE(SUBSTITUTE(LEFT(X198, FIND(" ", X198) - 1), ",", ""))</f>
        <v>529746</v>
      </c>
      <c r="AK198" s="20" t="str">
        <f>IF(AI198&gt;AC198, "YES","")</f>
        <v>YES</v>
      </c>
    </row>
    <row r="199" spans="1:37" x14ac:dyDescent="0.25">
      <c r="A199" s="5">
        <v>44749</v>
      </c>
      <c r="B199" s="3" t="s">
        <v>35</v>
      </c>
      <c r="C199" s="3">
        <v>36</v>
      </c>
      <c r="D199" s="3" t="s">
        <v>43</v>
      </c>
      <c r="E199" s="3" t="s">
        <v>33</v>
      </c>
      <c r="F199" s="3" t="s">
        <v>37</v>
      </c>
      <c r="G199" s="3" t="s">
        <v>58</v>
      </c>
      <c r="H199" s="3">
        <v>35</v>
      </c>
      <c r="I199" s="3" t="s">
        <v>68</v>
      </c>
      <c r="J199" s="3" t="s">
        <v>33</v>
      </c>
      <c r="K199" s="3" t="s">
        <v>34</v>
      </c>
      <c r="L199" s="3" t="s">
        <v>38</v>
      </c>
      <c r="M199" s="3">
        <v>0.66</v>
      </c>
      <c r="N199" s="3">
        <v>439.1</v>
      </c>
      <c r="O199" s="3">
        <v>399.9</v>
      </c>
      <c r="P199" s="3">
        <v>143.1</v>
      </c>
      <c r="Q199" s="8">
        <v>3292169</v>
      </c>
      <c r="R199" s="8">
        <v>5000000</v>
      </c>
      <c r="S199" s="8">
        <v>-123403</v>
      </c>
      <c r="T199" s="3">
        <v>550</v>
      </c>
      <c r="U199" s="3">
        <v>641</v>
      </c>
      <c r="V199" s="3"/>
      <c r="W199" s="8">
        <v>493164</v>
      </c>
      <c r="X199" s="3" t="s">
        <v>203</v>
      </c>
      <c r="Y199" s="3" t="s">
        <v>204</v>
      </c>
      <c r="Z199" s="3" t="s">
        <v>205</v>
      </c>
      <c r="AA199" s="3" t="s">
        <v>42</v>
      </c>
      <c r="AB199" s="3"/>
      <c r="AC199" s="8">
        <v>131653.83830999999</v>
      </c>
      <c r="AD199" s="8">
        <v>300811.10755646811</v>
      </c>
      <c r="AE199" s="8">
        <v>568252.62470171624</v>
      </c>
      <c r="AF199" s="8">
        <f>VALUE(SUBSTITUTE(LEFT(Z199, FIND(" ", Z199) - 1), ",", ""))</f>
        <v>358536</v>
      </c>
      <c r="AG199" s="15">
        <f ca="1">(AF199/YEARFRAC(A199,TODAY())/P199)</f>
        <v>732.12447929429061</v>
      </c>
      <c r="AI199" s="8">
        <f>VALUE(SUBSTITUTE(LEFT(X199, FIND(" ", X199) - 1), ",", ""))</f>
        <v>421266</v>
      </c>
      <c r="AK199" s="20" t="str">
        <f>IF(AI199&gt;AC199, "YES","")</f>
        <v>YES</v>
      </c>
    </row>
    <row r="200" spans="1:37" x14ac:dyDescent="0.25">
      <c r="A200" s="5">
        <v>44980</v>
      </c>
      <c r="B200" s="3" t="s">
        <v>58</v>
      </c>
      <c r="C200" s="3">
        <v>37</v>
      </c>
      <c r="D200" s="3" t="s">
        <v>43</v>
      </c>
      <c r="E200" s="3" t="s">
        <v>33</v>
      </c>
      <c r="F200" s="3" t="s">
        <v>34</v>
      </c>
      <c r="G200" s="3" t="s">
        <v>35</v>
      </c>
      <c r="H200" s="3">
        <v>38</v>
      </c>
      <c r="I200" s="3" t="s">
        <v>36</v>
      </c>
      <c r="J200" s="3" t="s">
        <v>33</v>
      </c>
      <c r="K200" s="3" t="s">
        <v>37</v>
      </c>
      <c r="L200" s="3" t="s">
        <v>38</v>
      </c>
      <c r="M200" s="3">
        <v>0.89</v>
      </c>
      <c r="N200" s="3">
        <v>246.7</v>
      </c>
      <c r="O200" s="3">
        <v>39.9</v>
      </c>
      <c r="P200" s="3">
        <v>88.1</v>
      </c>
      <c r="Q200" s="8">
        <v>25000000</v>
      </c>
      <c r="R200" s="8">
        <v>28004072</v>
      </c>
      <c r="S200" s="8">
        <v>-3928862</v>
      </c>
      <c r="T200" s="3">
        <v>391</v>
      </c>
      <c r="U200" s="3">
        <v>129</v>
      </c>
      <c r="V200" s="3"/>
      <c r="W200" s="8">
        <v>-2927487</v>
      </c>
      <c r="X200" s="3" t="s">
        <v>277</v>
      </c>
      <c r="Y200" s="3" t="s">
        <v>278</v>
      </c>
      <c r="Z200" s="3" t="s">
        <v>279</v>
      </c>
      <c r="AA200" s="3" t="s">
        <v>280</v>
      </c>
      <c r="AB200" s="3"/>
      <c r="AC200" s="8">
        <v>99749.999999999985</v>
      </c>
      <c r="AD200" s="8">
        <v>1994317.0343140319</v>
      </c>
      <c r="AE200" s="8">
        <v>570334.05552700046</v>
      </c>
      <c r="AF200" s="8">
        <f>VALUE(SUBSTITUTE(LEFT(Z200, FIND(" ", Z200) - 1), ",", ""))</f>
        <v>1464714</v>
      </c>
      <c r="AG200" s="15">
        <f ca="1">(AF200/YEARFRAC(A200,TODAY())/P200)</f>
        <v>5949.5133625037524</v>
      </c>
      <c r="AI200" s="8">
        <f>VALUE(SUBSTITUTE(LEFT(X200, FIND(" ", X200) - 1), ",", ""))</f>
        <v>1798935</v>
      </c>
      <c r="AK200" s="20" t="str">
        <f>IF(AI200&gt;AC200, "YES","")</f>
        <v>YES</v>
      </c>
    </row>
    <row r="201" spans="1:37" x14ac:dyDescent="0.25">
      <c r="A201" s="5">
        <v>45049</v>
      </c>
      <c r="B201" s="3" t="s">
        <v>35</v>
      </c>
      <c r="C201" s="3">
        <v>38</v>
      </c>
      <c r="D201" s="3" t="s">
        <v>82</v>
      </c>
      <c r="E201" s="3" t="s">
        <v>33</v>
      </c>
      <c r="F201" s="3" t="s">
        <v>34</v>
      </c>
      <c r="G201" s="3" t="s">
        <v>35</v>
      </c>
      <c r="H201" s="3">
        <v>38</v>
      </c>
      <c r="I201" s="3" t="s">
        <v>36</v>
      </c>
      <c r="J201" s="3" t="s">
        <v>33</v>
      </c>
      <c r="K201" s="3" t="s">
        <v>37</v>
      </c>
      <c r="L201" s="3" t="s">
        <v>38</v>
      </c>
      <c r="M201" s="3">
        <v>0.19</v>
      </c>
      <c r="N201" s="3">
        <v>249.2</v>
      </c>
      <c r="O201" s="3">
        <v>103.3</v>
      </c>
      <c r="P201" s="3">
        <v>389.8</v>
      </c>
      <c r="Q201" s="8">
        <v>5000000</v>
      </c>
      <c r="R201" s="8">
        <v>26667649</v>
      </c>
      <c r="S201" s="8">
        <v>-5239017</v>
      </c>
      <c r="T201" s="3">
        <v>901</v>
      </c>
      <c r="U201" s="3">
        <v>122</v>
      </c>
      <c r="V201" s="3"/>
      <c r="W201" s="8">
        <v>-4382899</v>
      </c>
      <c r="X201" s="3" t="s">
        <v>316</v>
      </c>
      <c r="Y201" s="3" t="s">
        <v>317</v>
      </c>
      <c r="Z201" s="3" t="s">
        <v>318</v>
      </c>
      <c r="AA201" s="3" t="s">
        <v>42</v>
      </c>
      <c r="AB201" s="3"/>
      <c r="AC201" s="8">
        <v>51649.999999999993</v>
      </c>
      <c r="AD201" s="8">
        <v>579771.99803531822</v>
      </c>
      <c r="AE201" s="8">
        <v>579771.99803531822</v>
      </c>
      <c r="AF201" s="8">
        <f>VALUE(SUBSTITUTE(LEFT(Z201, FIND(" ", Z201) - 1), ",", ""))</f>
        <v>843245</v>
      </c>
      <c r="AG201" s="15">
        <f ca="1">(AF201/YEARFRAC(A201,TODAY())/P201)</f>
        <v>832.02924576706005</v>
      </c>
      <c r="AI201" s="8">
        <f>VALUE(SUBSTITUTE(LEFT(X201, FIND(" ", X201) - 1), ",", ""))</f>
        <v>850524</v>
      </c>
      <c r="AK201" s="20" t="str">
        <f>IF(AI201&gt;AC201, "YES","")</f>
        <v>YES</v>
      </c>
    </row>
    <row r="202" spans="1:37" x14ac:dyDescent="0.25">
      <c r="A202" s="5">
        <v>45511</v>
      </c>
      <c r="B202" s="3" t="s">
        <v>58</v>
      </c>
      <c r="C202" s="3">
        <v>39</v>
      </c>
      <c r="D202" s="3" t="s">
        <v>68</v>
      </c>
      <c r="E202" s="3" t="s">
        <v>33</v>
      </c>
      <c r="F202" s="3" t="s">
        <v>37</v>
      </c>
      <c r="G202" s="3" t="s">
        <v>31</v>
      </c>
      <c r="H202" s="3">
        <v>41</v>
      </c>
      <c r="I202" s="3" t="s">
        <v>32</v>
      </c>
      <c r="J202" s="3" t="s">
        <v>33</v>
      </c>
      <c r="K202" s="3" t="s">
        <v>34</v>
      </c>
      <c r="L202" s="3" t="s">
        <v>38</v>
      </c>
      <c r="M202" s="3">
        <v>0.44</v>
      </c>
      <c r="N202" s="3">
        <v>228.5</v>
      </c>
      <c r="O202" s="3">
        <v>167.1</v>
      </c>
      <c r="P202" s="3">
        <v>136.5</v>
      </c>
      <c r="Q202" s="8">
        <v>5000000</v>
      </c>
      <c r="R202" s="8">
        <v>11470448</v>
      </c>
      <c r="S202" s="8">
        <v>-684383</v>
      </c>
      <c r="T202" s="3">
        <v>301</v>
      </c>
      <c r="U202" s="3">
        <v>217</v>
      </c>
      <c r="V202" s="3"/>
      <c r="W202" s="8">
        <v>-515642</v>
      </c>
      <c r="X202" s="3" t="s">
        <v>835</v>
      </c>
      <c r="Y202" s="3" t="s">
        <v>836</v>
      </c>
      <c r="Z202" s="3" t="s">
        <v>837</v>
      </c>
      <c r="AA202" s="3" t="s">
        <v>838</v>
      </c>
      <c r="AB202" s="3"/>
      <c r="AC202" s="8">
        <v>83550</v>
      </c>
      <c r="AD202" s="8">
        <v>580816.75475318287</v>
      </c>
      <c r="AE202" s="8">
        <v>580816.75475318287</v>
      </c>
      <c r="AF202" s="8">
        <f>VALUE(SUBSTITUTE(LEFT(Z202, FIND(" ", Z202) - 1), ",", ""))</f>
        <v>348277</v>
      </c>
      <c r="AG202" s="15">
        <f ca="1">(AF202/YEARFRAC(A202,TODAY())/P202)</f>
        <v>1905.6696001094344</v>
      </c>
      <c r="AI202" s="8">
        <f>VALUE(SUBSTITUTE(LEFT(X202, FIND(" ", X202) - 1), ",", ""))</f>
        <v>364014</v>
      </c>
      <c r="AK202" s="20" t="str">
        <f>IF(AI202&gt;AC202, "YES","")</f>
        <v>YES</v>
      </c>
    </row>
    <row r="203" spans="1:37" x14ac:dyDescent="0.25">
      <c r="A203" s="5">
        <v>45744</v>
      </c>
      <c r="B203" s="20" t="s">
        <v>35</v>
      </c>
      <c r="C203" s="20">
        <v>42</v>
      </c>
      <c r="D203" s="20" t="s">
        <v>36</v>
      </c>
      <c r="E203" s="20" t="s">
        <v>33</v>
      </c>
      <c r="F203" s="20" t="s">
        <v>37</v>
      </c>
      <c r="G203" s="20" t="s">
        <v>31</v>
      </c>
      <c r="H203" s="20">
        <v>43</v>
      </c>
      <c r="I203" s="20" t="s">
        <v>142</v>
      </c>
      <c r="J203" s="20" t="s">
        <v>33</v>
      </c>
      <c r="K203" s="20" t="s">
        <v>34</v>
      </c>
      <c r="L203" s="20" t="s">
        <v>38</v>
      </c>
      <c r="M203" s="20">
        <v>0.24</v>
      </c>
      <c r="N203" s="20">
        <v>231</v>
      </c>
      <c r="O203" s="20">
        <v>120.3</v>
      </c>
      <c r="P203" s="20">
        <v>183.7</v>
      </c>
      <c r="Q203" s="8">
        <v>6049419</v>
      </c>
      <c r="R203" s="8">
        <v>25000000</v>
      </c>
      <c r="S203" s="8">
        <v>-878002</v>
      </c>
      <c r="T203" s="20">
        <v>94</v>
      </c>
      <c r="U203" s="20">
        <v>72</v>
      </c>
      <c r="V203" s="20"/>
      <c r="W203" s="8">
        <v>-870655</v>
      </c>
      <c r="X203" s="20" t="s">
        <v>1005</v>
      </c>
      <c r="Y203" s="20" t="s">
        <v>1006</v>
      </c>
      <c r="Z203" s="20" t="s">
        <v>1007</v>
      </c>
      <c r="AA203" s="20" t="s">
        <v>1008</v>
      </c>
      <c r="AB203" s="3"/>
      <c r="AC203" s="8">
        <v>72774.510569999999</v>
      </c>
      <c r="AD203" s="8">
        <v>582554.6264180697</v>
      </c>
      <c r="AE203" s="8">
        <v>582554.6264180697</v>
      </c>
      <c r="AF203" s="8">
        <f>VALUE(SUBSTITUTE(LEFT(Z203, FIND(" ", Z203) - 1), ",", ""))</f>
        <v>249457</v>
      </c>
      <c r="AG203" s="15">
        <f ca="1">(AF203/YEARFRAC(A203,TODAY())/P203)</f>
        <v>1947.6697456228437</v>
      </c>
      <c r="AI203" s="8">
        <f>VALUE(SUBSTITUTE(LEFT(X203, FIND(" ", X203) - 1), ",", ""))</f>
        <v>249457</v>
      </c>
      <c r="AK203" s="20" t="str">
        <f>IF(AI203&gt;AC203, "YES","")</f>
        <v>YES</v>
      </c>
    </row>
    <row r="204" spans="1:37" x14ac:dyDescent="0.25">
      <c r="A204" s="5">
        <v>44749</v>
      </c>
      <c r="B204" s="3" t="s">
        <v>57</v>
      </c>
      <c r="C204" s="3">
        <v>36</v>
      </c>
      <c r="D204" s="3" t="s">
        <v>43</v>
      </c>
      <c r="E204" s="3" t="s">
        <v>33</v>
      </c>
      <c r="F204" s="3" t="s">
        <v>37</v>
      </c>
      <c r="G204" s="3" t="s">
        <v>31</v>
      </c>
      <c r="H204" s="3">
        <v>35</v>
      </c>
      <c r="I204" s="3" t="s">
        <v>32</v>
      </c>
      <c r="J204" s="3" t="s">
        <v>33</v>
      </c>
      <c r="K204" s="3" t="s">
        <v>34</v>
      </c>
      <c r="L204" s="3" t="s">
        <v>38</v>
      </c>
      <c r="M204" s="3">
        <v>0.76</v>
      </c>
      <c r="N204" s="3">
        <v>193.4</v>
      </c>
      <c r="O204" s="3">
        <v>97.8</v>
      </c>
      <c r="P204" s="3">
        <v>320.5</v>
      </c>
      <c r="Q204" s="8">
        <v>7584898</v>
      </c>
      <c r="R204" s="8">
        <v>10000000</v>
      </c>
      <c r="S204" s="8">
        <v>-1475340</v>
      </c>
      <c r="T204" s="3">
        <v>232</v>
      </c>
      <c r="U204" s="3">
        <v>312</v>
      </c>
      <c r="V204" s="3"/>
      <c r="W204" s="8">
        <v>-965720</v>
      </c>
      <c r="X204" s="3" t="s">
        <v>188</v>
      </c>
      <c r="Y204" s="3" t="s">
        <v>189</v>
      </c>
      <c r="Z204" s="3" t="s">
        <v>190</v>
      </c>
      <c r="AA204" s="3" t="s">
        <v>42</v>
      </c>
      <c r="AB204" s="3"/>
      <c r="AC204" s="8">
        <v>74180.302439999999</v>
      </c>
      <c r="AD204" s="8">
        <v>294158.53835126618</v>
      </c>
      <c r="AE204" s="8">
        <v>582985.50003366475</v>
      </c>
      <c r="AF204" s="8">
        <f>VALUE(SUBSTITUTE(LEFT(Z204, FIND(" ", Z204) - 1), ",", ""))</f>
        <v>563531</v>
      </c>
      <c r="AG204" s="15">
        <f ca="1">(AF204/YEARFRAC(A204,TODAY())/P204)</f>
        <v>513.78517738112123</v>
      </c>
      <c r="AI204" s="8">
        <f>VALUE(SUBSTITUTE(LEFT(X204, FIND(" ", X204) - 1), ",", ""))</f>
        <v>564937</v>
      </c>
      <c r="AK204" s="20" t="str">
        <f>IF(AI204&gt;AC204, "YES","")</f>
        <v>YES</v>
      </c>
    </row>
    <row r="205" spans="1:37" x14ac:dyDescent="0.25">
      <c r="A205" s="5">
        <v>44749</v>
      </c>
      <c r="B205" s="3" t="s">
        <v>44</v>
      </c>
      <c r="C205" s="3">
        <v>36</v>
      </c>
      <c r="D205" s="3" t="s">
        <v>43</v>
      </c>
      <c r="E205" s="3" t="s">
        <v>33</v>
      </c>
      <c r="F205" s="3" t="s">
        <v>37</v>
      </c>
      <c r="G205" s="3" t="s">
        <v>31</v>
      </c>
      <c r="H205" s="3">
        <v>35</v>
      </c>
      <c r="I205" s="3" t="s">
        <v>32</v>
      </c>
      <c r="J205" s="3" t="s">
        <v>33</v>
      </c>
      <c r="K205" s="3" t="s">
        <v>34</v>
      </c>
      <c r="L205" s="3" t="s">
        <v>38</v>
      </c>
      <c r="M205" s="3">
        <v>1.4</v>
      </c>
      <c r="N205" s="3">
        <v>121.2</v>
      </c>
      <c r="O205" s="3">
        <v>80.400000000000006</v>
      </c>
      <c r="P205" s="3">
        <v>246.9</v>
      </c>
      <c r="Q205" s="8">
        <v>13988909</v>
      </c>
      <c r="R205" s="8">
        <v>10000000</v>
      </c>
      <c r="S205" s="8">
        <v>-550434</v>
      </c>
      <c r="T205" s="3">
        <v>109</v>
      </c>
      <c r="U205" s="3">
        <v>312</v>
      </c>
      <c r="V205" s="3"/>
      <c r="W205" s="8">
        <v>29205</v>
      </c>
      <c r="X205" s="3" t="s">
        <v>191</v>
      </c>
      <c r="Y205" s="3" t="s">
        <v>192</v>
      </c>
      <c r="Z205" s="3" t="s">
        <v>193</v>
      </c>
      <c r="AA205" s="3" t="s">
        <v>42</v>
      </c>
      <c r="AB205" s="3"/>
      <c r="AC205" s="8">
        <v>112470.82836</v>
      </c>
      <c r="AD205" s="8">
        <v>398796.69027049962</v>
      </c>
      <c r="AE205" s="8">
        <v>590563.89269560284</v>
      </c>
      <c r="AF205" s="8">
        <f>VALUE(SUBSTITUTE(LEFT(Z205, FIND(" ", Z205) - 1), ",", ""))</f>
        <v>443842</v>
      </c>
      <c r="AG205" s="15">
        <f ca="1">(AF205/YEARFRAC(A205,TODAY())/P205)</f>
        <v>525.28995912957032</v>
      </c>
      <c r="AI205" s="8">
        <f>VALUE(SUBSTITUTE(LEFT(X205, FIND(" ", X205) - 1), ",", ""))</f>
        <v>476540</v>
      </c>
      <c r="AK205" s="20" t="str">
        <f>IF(AI205&gt;AC205, "YES","")</f>
        <v>YES</v>
      </c>
    </row>
    <row r="206" spans="1:37" x14ac:dyDescent="0.25">
      <c r="A206" s="17">
        <v>45737</v>
      </c>
      <c r="B206" s="12" t="s">
        <v>35</v>
      </c>
      <c r="C206" s="12">
        <v>42</v>
      </c>
      <c r="D206" s="12" t="s">
        <v>36</v>
      </c>
      <c r="E206" s="12" t="s">
        <v>33</v>
      </c>
      <c r="F206" s="12" t="s">
        <v>37</v>
      </c>
      <c r="G206" s="12" t="s">
        <v>31</v>
      </c>
      <c r="H206" s="12">
        <v>43</v>
      </c>
      <c r="I206" s="12" t="s">
        <v>142</v>
      </c>
      <c r="J206" s="12" t="s">
        <v>33</v>
      </c>
      <c r="K206" s="12" t="s">
        <v>34</v>
      </c>
      <c r="L206" s="12" t="s">
        <v>38</v>
      </c>
      <c r="M206" s="12">
        <v>0.24</v>
      </c>
      <c r="N206" s="12">
        <v>201.2</v>
      </c>
      <c r="O206" s="12">
        <v>127.9</v>
      </c>
      <c r="P206" s="12">
        <v>169.2</v>
      </c>
      <c r="Q206" s="16">
        <v>6000000</v>
      </c>
      <c r="R206" s="16">
        <v>25000000</v>
      </c>
      <c r="S206" s="16">
        <v>-861430</v>
      </c>
      <c r="T206" s="12">
        <v>87</v>
      </c>
      <c r="U206" s="12">
        <v>71</v>
      </c>
      <c r="V206" s="12"/>
      <c r="W206" s="16">
        <v>-573374</v>
      </c>
      <c r="X206" s="12" t="s">
        <v>1121</v>
      </c>
      <c r="Y206" s="12" t="s">
        <v>1122</v>
      </c>
      <c r="Z206" s="12" t="s">
        <v>1123</v>
      </c>
      <c r="AA206" s="12" t="s">
        <v>1124</v>
      </c>
      <c r="AB206" s="3"/>
      <c r="AC206" s="8">
        <v>76740</v>
      </c>
      <c r="AD206" s="8">
        <v>595196.44079397665</v>
      </c>
      <c r="AE206" s="8">
        <v>595196.44079397665</v>
      </c>
      <c r="AF206" s="8">
        <f>VALUE(SUBSTITUTE(LEFT(Z206, FIND(" ", Z206) - 1), ",", ""))</f>
        <v>222160</v>
      </c>
      <c r="AG206" s="15">
        <f ca="1">(AF206/YEARFRAC(A206,TODAY())/P206)</f>
        <v>1832.0963219528289</v>
      </c>
      <c r="AI206" s="8">
        <f>VALUE(SUBSTITUTE(LEFT(X206, FIND(" ", X206) - 1), ",", ""))</f>
        <v>263171</v>
      </c>
      <c r="AK206" s="20" t="str">
        <f>IF(AI206&gt;AC206, "YES","")</f>
        <v>YES</v>
      </c>
    </row>
    <row r="207" spans="1:37" x14ac:dyDescent="0.25">
      <c r="A207" s="5">
        <v>45401</v>
      </c>
      <c r="B207" s="20" t="s">
        <v>35</v>
      </c>
      <c r="C207" s="20">
        <v>40</v>
      </c>
      <c r="D207" s="20" t="s">
        <v>36</v>
      </c>
      <c r="E207" s="20" t="s">
        <v>33</v>
      </c>
      <c r="F207" s="20" t="s">
        <v>37</v>
      </c>
      <c r="G207" s="20" t="s">
        <v>57</v>
      </c>
      <c r="H207" s="20">
        <v>41</v>
      </c>
      <c r="I207" s="20" t="s">
        <v>43</v>
      </c>
      <c r="J207" s="20" t="s">
        <v>33</v>
      </c>
      <c r="K207" s="20" t="s">
        <v>34</v>
      </c>
      <c r="L207" s="20" t="s">
        <v>38</v>
      </c>
      <c r="M207" s="20">
        <v>0.26</v>
      </c>
      <c r="N207" s="20">
        <v>403.5</v>
      </c>
      <c r="O207" s="20">
        <v>39.6</v>
      </c>
      <c r="P207" s="20">
        <v>104.9</v>
      </c>
      <c r="Q207" s="8">
        <v>12845106</v>
      </c>
      <c r="R207" s="8">
        <v>50000000</v>
      </c>
      <c r="S207" s="8">
        <v>-2836663</v>
      </c>
      <c r="T207" s="20">
        <v>84</v>
      </c>
      <c r="U207" s="20">
        <v>121</v>
      </c>
      <c r="V207" s="20"/>
      <c r="W207" s="8">
        <v>-2718306</v>
      </c>
      <c r="X207" s="20" t="s">
        <v>676</v>
      </c>
      <c r="Y207" s="20" t="s">
        <v>677</v>
      </c>
      <c r="Z207" s="20" t="s">
        <v>678</v>
      </c>
      <c r="AA207" s="20" t="s">
        <v>679</v>
      </c>
      <c r="AB207" s="3"/>
      <c r="AC207" s="8">
        <v>50866.619760000001</v>
      </c>
      <c r="AD207" s="8">
        <v>2623311.4113007528</v>
      </c>
      <c r="AE207" s="8">
        <v>595317.37904291297</v>
      </c>
      <c r="AF207" s="8">
        <f>VALUE(SUBSTITUTE(LEFT(Z207, FIND(" ", Z207) - 1), ",", ""))</f>
        <v>1813789</v>
      </c>
      <c r="AG207" s="15">
        <f ca="1">(AF207/YEARFRAC(A207,TODAY())/P207)</f>
        <v>10550.22604255869</v>
      </c>
      <c r="AI207" s="8">
        <f>VALUE(SUBSTITUTE(LEFT(X207, FIND(" ", X207) - 1), ",", ""))</f>
        <v>1850873</v>
      </c>
      <c r="AK207" s="20" t="str">
        <f>IF(AI207&gt;AC207, "YES","")</f>
        <v>YES</v>
      </c>
    </row>
    <row r="208" spans="1:37" x14ac:dyDescent="0.25">
      <c r="A208" s="17">
        <v>45755</v>
      </c>
      <c r="B208" s="12" t="s">
        <v>35</v>
      </c>
      <c r="C208" s="12">
        <v>42</v>
      </c>
      <c r="D208" s="12" t="s">
        <v>49</v>
      </c>
      <c r="E208" s="12" t="s">
        <v>33</v>
      </c>
      <c r="F208" s="12" t="s">
        <v>37</v>
      </c>
      <c r="G208" s="12" t="s">
        <v>35</v>
      </c>
      <c r="H208" s="12">
        <v>42</v>
      </c>
      <c r="I208" s="12" t="s">
        <v>82</v>
      </c>
      <c r="J208" s="12" t="s">
        <v>33</v>
      </c>
      <c r="K208" s="12" t="s">
        <v>34</v>
      </c>
      <c r="L208" s="12" t="s">
        <v>38</v>
      </c>
      <c r="M208" s="12">
        <v>1.5</v>
      </c>
      <c r="N208" s="12">
        <v>188.3</v>
      </c>
      <c r="O208" s="12">
        <v>94.3</v>
      </c>
      <c r="P208" s="12">
        <v>180.1</v>
      </c>
      <c r="Q208" s="16">
        <v>7500000</v>
      </c>
      <c r="R208" s="16">
        <v>5000000</v>
      </c>
      <c r="S208" s="16">
        <v>-1171046</v>
      </c>
      <c r="T208" s="12">
        <v>346</v>
      </c>
      <c r="U208" s="12">
        <v>776</v>
      </c>
      <c r="V208" s="12"/>
      <c r="W208" s="16">
        <v>399067</v>
      </c>
      <c r="X208" s="12" t="s">
        <v>1128</v>
      </c>
      <c r="Y208" s="12" t="s">
        <v>1129</v>
      </c>
      <c r="Z208" s="12" t="s">
        <v>1130</v>
      </c>
      <c r="AA208" s="12" t="s">
        <v>1131</v>
      </c>
      <c r="AB208" s="3"/>
      <c r="AC208" s="8">
        <v>70725</v>
      </c>
      <c r="AD208" s="8">
        <v>604064.33949349751</v>
      </c>
      <c r="AE208" s="8">
        <v>604064.33949349751</v>
      </c>
      <c r="AF208" s="8">
        <f>VALUE(SUBSTITUTE(LEFT(Z208, FIND(" ", Z208) - 1), ",", ""))</f>
        <v>382981</v>
      </c>
      <c r="AG208" s="15">
        <f ca="1">(AF208/YEARFRAC(A208,TODAY())/P208)</f>
        <v>3176.500837478487</v>
      </c>
      <c r="AI208" s="8">
        <f>VALUE(SUBSTITUTE(LEFT(X208, FIND(" ", X208) - 1), ",", ""))</f>
        <v>415614</v>
      </c>
      <c r="AK208" s="20" t="str">
        <f>IF(AI208&gt;AC208, "YES","")</f>
        <v>YES</v>
      </c>
    </row>
    <row r="209" spans="1:37" x14ac:dyDescent="0.25">
      <c r="A209" s="5">
        <v>45754</v>
      </c>
      <c r="B209" s="3" t="s">
        <v>44</v>
      </c>
      <c r="C209" s="3">
        <v>41</v>
      </c>
      <c r="D209" s="3" t="s">
        <v>43</v>
      </c>
      <c r="E209" s="3" t="s">
        <v>33</v>
      </c>
      <c r="F209" s="3" t="s">
        <v>37</v>
      </c>
      <c r="G209" s="3" t="s">
        <v>31</v>
      </c>
      <c r="H209" s="3">
        <v>43</v>
      </c>
      <c r="I209" s="3" t="s">
        <v>142</v>
      </c>
      <c r="J209" s="3" t="s">
        <v>33</v>
      </c>
      <c r="K209" s="3" t="s">
        <v>34</v>
      </c>
      <c r="L209" s="3" t="s">
        <v>38</v>
      </c>
      <c r="M209" s="3">
        <v>1.43</v>
      </c>
      <c r="N209" s="3">
        <v>3.5</v>
      </c>
      <c r="O209" s="3">
        <v>30.2</v>
      </c>
      <c r="P209" s="3">
        <v>110.6</v>
      </c>
      <c r="Q209" s="8">
        <v>35791665</v>
      </c>
      <c r="R209" s="8">
        <v>25000000</v>
      </c>
      <c r="S209" s="8">
        <v>-466640</v>
      </c>
      <c r="T209" s="3">
        <v>69</v>
      </c>
      <c r="U209" s="3">
        <v>99</v>
      </c>
      <c r="V209" s="3"/>
      <c r="W209" s="8">
        <v>-409239</v>
      </c>
      <c r="X209" s="3" t="s">
        <v>580</v>
      </c>
      <c r="Y209" s="3" t="s">
        <v>581</v>
      </c>
      <c r="Z209" s="3" t="s">
        <v>582</v>
      </c>
      <c r="AA209" s="3"/>
      <c r="AB209" s="3"/>
      <c r="AC209" s="8">
        <v>108090.82829999999</v>
      </c>
      <c r="AD209" s="8">
        <v>126263.05312115001</v>
      </c>
      <c r="AE209" s="8">
        <v>604646.40663304203</v>
      </c>
      <c r="AF209" s="8">
        <f>VALUE(SUBSTITUTE(LEFT(Z209, FIND(" ", Z209) - 1), ",", ""))</f>
        <v>65503</v>
      </c>
      <c r="AG209" s="15">
        <f ca="1">(AF209/YEARFRAC(A209,TODAY())/P209)</f>
        <v>881.03507539641021</v>
      </c>
      <c r="AI209" s="8">
        <f>VALUE(SUBSTITUTE(LEFT(X209, FIND(" ", X209) - 1), ",", ""))</f>
        <v>226534</v>
      </c>
      <c r="AK209" s="20" t="str">
        <f>IF(AI209&gt;AC209, "YES","")</f>
        <v>YES</v>
      </c>
    </row>
    <row r="210" spans="1:37" x14ac:dyDescent="0.25">
      <c r="A210" s="5">
        <v>45754</v>
      </c>
      <c r="B210" s="20" t="s">
        <v>35</v>
      </c>
      <c r="C210" s="20">
        <v>42</v>
      </c>
      <c r="D210" s="20" t="s">
        <v>49</v>
      </c>
      <c r="E210" s="20" t="s">
        <v>33</v>
      </c>
      <c r="F210" s="20" t="s">
        <v>37</v>
      </c>
      <c r="G210" s="20" t="s">
        <v>35</v>
      </c>
      <c r="H210" s="20">
        <v>42</v>
      </c>
      <c r="I210" s="20" t="s">
        <v>82</v>
      </c>
      <c r="J210" s="20" t="s">
        <v>33</v>
      </c>
      <c r="K210" s="20" t="s">
        <v>34</v>
      </c>
      <c r="L210" s="20" t="s">
        <v>38</v>
      </c>
      <c r="M210" s="20">
        <v>1.5</v>
      </c>
      <c r="N210" s="20">
        <v>197.2</v>
      </c>
      <c r="O210" s="20">
        <v>104.2</v>
      </c>
      <c r="P210" s="20">
        <v>164.2</v>
      </c>
      <c r="Q210" s="8">
        <v>7511247</v>
      </c>
      <c r="R210" s="8">
        <v>5000000</v>
      </c>
      <c r="S210" s="8">
        <v>-1189497</v>
      </c>
      <c r="T210" s="20">
        <v>366</v>
      </c>
      <c r="U210" s="20">
        <v>809</v>
      </c>
      <c r="V210" s="20"/>
      <c r="W210" s="8">
        <v>334784</v>
      </c>
      <c r="X210" s="20" t="s">
        <v>568</v>
      </c>
      <c r="Y210" s="20" t="s">
        <v>569</v>
      </c>
      <c r="Z210" s="20" t="s">
        <v>570</v>
      </c>
      <c r="AA210" s="20" t="s">
        <v>571</v>
      </c>
      <c r="AB210" s="3"/>
      <c r="AC210" s="8">
        <v>78267.193740000002</v>
      </c>
      <c r="AD210" s="8">
        <v>609535.39257056802</v>
      </c>
      <c r="AE210" s="8">
        <v>609535.39257056802</v>
      </c>
      <c r="AF210" s="8">
        <f>VALUE(SUBSTITUTE(LEFT(Z210, FIND(" ", Z210) - 1), ",", ""))</f>
        <v>411599</v>
      </c>
      <c r="AG210" s="15">
        <f ca="1">(AF210/YEARFRAC(A210,TODAY())/P210)</f>
        <v>3728.964878549642</v>
      </c>
      <c r="AI210" s="8">
        <f>VALUE(SUBSTITUTE(LEFT(X210, FIND(" ", X210) - 1), ",", ""))</f>
        <v>419343</v>
      </c>
      <c r="AK210" s="20" t="str">
        <f>IF(AI210&gt;AC210, "YES","")</f>
        <v>YES</v>
      </c>
    </row>
    <row r="211" spans="1:37" x14ac:dyDescent="0.25">
      <c r="A211" s="5">
        <v>45324</v>
      </c>
      <c r="B211" s="3" t="s">
        <v>35</v>
      </c>
      <c r="C211" s="3">
        <v>40</v>
      </c>
      <c r="D211" s="3" t="s">
        <v>43</v>
      </c>
      <c r="E211" s="3" t="s">
        <v>33</v>
      </c>
      <c r="F211" s="3" t="s">
        <v>34</v>
      </c>
      <c r="G211" s="3" t="s">
        <v>44</v>
      </c>
      <c r="H211" s="3">
        <v>39</v>
      </c>
      <c r="I211" s="3" t="s">
        <v>43</v>
      </c>
      <c r="J211" s="3" t="s">
        <v>33</v>
      </c>
      <c r="K211" s="3" t="s">
        <v>37</v>
      </c>
      <c r="L211" s="3" t="s">
        <v>38</v>
      </c>
      <c r="M211" s="3">
        <v>0.17</v>
      </c>
      <c r="N211" s="3">
        <v>7.1</v>
      </c>
      <c r="O211" s="3">
        <v>24.2</v>
      </c>
      <c r="P211" s="3">
        <v>449.2</v>
      </c>
      <c r="Q211" s="8">
        <v>35830458</v>
      </c>
      <c r="R211" s="8">
        <v>215000000</v>
      </c>
      <c r="S211" s="8">
        <v>-1285950</v>
      </c>
      <c r="T211" s="3">
        <v>321</v>
      </c>
      <c r="U211" s="3">
        <v>52</v>
      </c>
      <c r="V211" s="3"/>
      <c r="W211" s="8">
        <v>268391</v>
      </c>
      <c r="X211" s="3" t="s">
        <v>618</v>
      </c>
      <c r="Y211" s="3" t="s">
        <v>619</v>
      </c>
      <c r="Z211" s="3" t="s">
        <v>620</v>
      </c>
      <c r="AA211" s="3"/>
      <c r="AB211" s="3"/>
      <c r="AC211" s="14">
        <v>86709.70835999999</v>
      </c>
      <c r="AD211" s="22">
        <v>717128.49366023205</v>
      </c>
      <c r="AE211" s="23">
        <v>616358.00826610159</v>
      </c>
      <c r="AF211" s="21">
        <f>VALUE(SUBSTITUTE(LEFT(Z211, FIND(" ", Z211) - 1), ",", ""))</f>
        <v>-169933</v>
      </c>
      <c r="AG211" s="13">
        <f ca="1">(AF211/YEARFRAC(A211,TODAY())/P211)</f>
        <v>-204.18067902825078</v>
      </c>
      <c r="AH211" s="19" t="s">
        <v>1238</v>
      </c>
      <c r="AI211" s="14">
        <f>VALUE(SUBSTITUTE(LEFT(X211, FIND(" ", X211) - 1), ",", ""))</f>
        <v>787420</v>
      </c>
      <c r="AK211" s="20" t="str">
        <f>IF(AI211&gt;AC211, "YES","")</f>
        <v>YES</v>
      </c>
    </row>
    <row r="212" spans="1:37" x14ac:dyDescent="0.25">
      <c r="A212" s="5">
        <v>45401</v>
      </c>
      <c r="B212" s="3" t="s">
        <v>35</v>
      </c>
      <c r="C212" s="3">
        <v>41</v>
      </c>
      <c r="D212" s="3" t="s">
        <v>43</v>
      </c>
      <c r="E212" s="3" t="s">
        <v>33</v>
      </c>
      <c r="F212" s="3" t="s">
        <v>34</v>
      </c>
      <c r="G212" s="3" t="s">
        <v>44</v>
      </c>
      <c r="H212" s="3">
        <v>40</v>
      </c>
      <c r="I212" s="3" t="s">
        <v>43</v>
      </c>
      <c r="J212" s="3" t="s">
        <v>33</v>
      </c>
      <c r="K212" s="3" t="s">
        <v>37</v>
      </c>
      <c r="L212" s="3" t="s">
        <v>38</v>
      </c>
      <c r="M212" s="3">
        <v>0.17</v>
      </c>
      <c r="N212" s="3">
        <v>10.6</v>
      </c>
      <c r="O212" s="3">
        <v>28.9</v>
      </c>
      <c r="P212" s="3">
        <v>162</v>
      </c>
      <c r="Q212" s="8">
        <v>37602688</v>
      </c>
      <c r="R212" s="8">
        <v>215000000</v>
      </c>
      <c r="S212" s="8">
        <v>-1066608</v>
      </c>
      <c r="T212" s="3">
        <v>334</v>
      </c>
      <c r="U212" s="3">
        <v>56</v>
      </c>
      <c r="V212" s="3"/>
      <c r="W212" s="8">
        <v>96556</v>
      </c>
      <c r="X212" s="3" t="s">
        <v>668</v>
      </c>
      <c r="Y212" s="3" t="s">
        <v>669</v>
      </c>
      <c r="Z212" s="3" t="s">
        <v>670</v>
      </c>
      <c r="AA212" s="3" t="s">
        <v>671</v>
      </c>
      <c r="AB212" s="3"/>
      <c r="AC212" s="8">
        <v>108671.76832</v>
      </c>
      <c r="AD212" s="8">
        <v>868368.03047118429</v>
      </c>
      <c r="AE212" s="8">
        <v>622667.66716683935</v>
      </c>
      <c r="AF212" s="8">
        <f>VALUE(SUBSTITUTE(LEFT(Z212, FIND(" ", Z212) - 1), ",", ""))</f>
        <v>132382</v>
      </c>
      <c r="AG212" s="15">
        <f ca="1">(AF212/YEARFRAC(A212,TODAY())/P212)</f>
        <v>498.61393596986824</v>
      </c>
      <c r="AI212" s="8">
        <f>VALUE(SUBSTITUTE(LEFT(X212, FIND(" ", X212) - 1), ",", ""))</f>
        <v>1976886</v>
      </c>
      <c r="AK212" s="20" t="str">
        <f>IF(AI212&gt;AC212, "YES","")</f>
        <v>YES</v>
      </c>
    </row>
    <row r="213" spans="1:37" x14ac:dyDescent="0.25">
      <c r="A213" s="5">
        <v>44749</v>
      </c>
      <c r="B213" s="3" t="s">
        <v>44</v>
      </c>
      <c r="C213" s="3">
        <v>36</v>
      </c>
      <c r="D213" s="3" t="s">
        <v>43</v>
      </c>
      <c r="E213" s="3" t="s">
        <v>33</v>
      </c>
      <c r="F213" s="3" t="s">
        <v>37</v>
      </c>
      <c r="G213" s="3" t="s">
        <v>58</v>
      </c>
      <c r="H213" s="3">
        <v>35</v>
      </c>
      <c r="I213" s="3" t="s">
        <v>68</v>
      </c>
      <c r="J213" s="3" t="s">
        <v>33</v>
      </c>
      <c r="K213" s="3" t="s">
        <v>34</v>
      </c>
      <c r="L213" s="3" t="s">
        <v>38</v>
      </c>
      <c r="M213" s="3">
        <v>2.75</v>
      </c>
      <c r="N213" s="3">
        <v>127.5</v>
      </c>
      <c r="O213" s="3">
        <v>148.80000000000001</v>
      </c>
      <c r="P213" s="3">
        <v>115.5</v>
      </c>
      <c r="Q213" s="8">
        <v>13749293</v>
      </c>
      <c r="R213" s="8">
        <v>5000000</v>
      </c>
      <c r="S213" s="8">
        <v>-138485</v>
      </c>
      <c r="T213" s="3">
        <v>109</v>
      </c>
      <c r="U213" s="3">
        <v>641</v>
      </c>
      <c r="V213" s="3"/>
      <c r="W213" s="8">
        <v>431226</v>
      </c>
      <c r="X213" s="3" t="s">
        <v>206</v>
      </c>
      <c r="Y213" s="3" t="s">
        <v>207</v>
      </c>
      <c r="Z213" s="3" t="s">
        <v>208</v>
      </c>
      <c r="AA213" s="3" t="s">
        <v>42</v>
      </c>
      <c r="AB213" s="3"/>
      <c r="AC213" s="8">
        <v>204589.47984000001</v>
      </c>
      <c r="AD213" s="8">
        <v>439799.89911047218</v>
      </c>
      <c r="AE213" s="8">
        <v>628282.32143040118</v>
      </c>
      <c r="AF213" s="8">
        <f>VALUE(SUBSTITUTE(LEFT(Z213, FIND(" ", Z213) - 1), ",", ""))</f>
        <v>476449</v>
      </c>
      <c r="AG213" s="15">
        <f ca="1">(AF213/YEARFRAC(A213,TODAY())/P213)</f>
        <v>1205.3862371394839</v>
      </c>
      <c r="AI213" s="8">
        <f>VALUE(SUBSTITUTE(LEFT(X213, FIND(" ", X213) - 1), ",", ""))</f>
        <v>522579</v>
      </c>
      <c r="AK213" s="20" t="str">
        <f>IF(AI213&gt;AC213, "YES","")</f>
        <v>YES</v>
      </c>
    </row>
    <row r="214" spans="1:37" x14ac:dyDescent="0.25">
      <c r="A214" s="5">
        <v>45754</v>
      </c>
      <c r="B214" s="3" t="s">
        <v>44</v>
      </c>
      <c r="C214" s="3">
        <v>42</v>
      </c>
      <c r="D214" s="3" t="s">
        <v>45</v>
      </c>
      <c r="E214" s="3" t="s">
        <v>33</v>
      </c>
      <c r="F214" s="3" t="s">
        <v>37</v>
      </c>
      <c r="G214" s="3" t="s">
        <v>35</v>
      </c>
      <c r="H214" s="3">
        <v>42</v>
      </c>
      <c r="I214" s="3" t="s">
        <v>82</v>
      </c>
      <c r="J214" s="3" t="s">
        <v>33</v>
      </c>
      <c r="K214" s="3" t="s">
        <v>34</v>
      </c>
      <c r="L214" s="3" t="s">
        <v>38</v>
      </c>
      <c r="M214" s="3">
        <v>3.56</v>
      </c>
      <c r="N214" s="3">
        <v>87.1</v>
      </c>
      <c r="O214" s="3">
        <v>59.6</v>
      </c>
      <c r="P214" s="3">
        <v>116.6</v>
      </c>
      <c r="Q214" s="8">
        <v>17802390</v>
      </c>
      <c r="R214" s="8">
        <v>5000000</v>
      </c>
      <c r="S214" s="8">
        <v>-324006</v>
      </c>
      <c r="T214" s="3">
        <v>152</v>
      </c>
      <c r="U214" s="3">
        <v>809</v>
      </c>
      <c r="V214" s="3"/>
      <c r="W214" s="8">
        <v>1200275</v>
      </c>
      <c r="X214" s="3" t="s">
        <v>572</v>
      </c>
      <c r="Y214" s="3" t="s">
        <v>573</v>
      </c>
      <c r="Z214" s="3" t="s">
        <v>574</v>
      </c>
      <c r="AA214" s="3" t="s">
        <v>575</v>
      </c>
      <c r="AB214" s="3"/>
      <c r="AC214" s="8">
        <v>106102.2444</v>
      </c>
      <c r="AD214" s="8">
        <v>629833.01436276524</v>
      </c>
      <c r="AE214" s="8">
        <v>629833.01436276524</v>
      </c>
      <c r="AF214" s="8">
        <f>VALUE(SUBSTITUTE(LEFT(Z214, FIND(" ", Z214) - 1), ",", ""))</f>
        <v>476914</v>
      </c>
      <c r="AG214" s="15">
        <f ca="1">(AF214/YEARFRAC(A214,TODAY())/P214)</f>
        <v>6084.552684178444</v>
      </c>
      <c r="AI214" s="8">
        <f>VALUE(SUBSTITUTE(LEFT(X214, FIND(" ", X214) - 1), ",", ""))</f>
        <v>490994</v>
      </c>
      <c r="AK214" s="20" t="str">
        <f>IF(AI214&gt;AC214, "YES","")</f>
        <v>YES</v>
      </c>
    </row>
    <row r="215" spans="1:37" x14ac:dyDescent="0.25">
      <c r="A215" s="5">
        <v>44749</v>
      </c>
      <c r="B215" s="3" t="s">
        <v>57</v>
      </c>
      <c r="C215" s="3">
        <v>36</v>
      </c>
      <c r="D215" s="3" t="s">
        <v>43</v>
      </c>
      <c r="E215" s="3" t="s">
        <v>33</v>
      </c>
      <c r="F215" s="3" t="s">
        <v>37</v>
      </c>
      <c r="G215" s="3" t="s">
        <v>58</v>
      </c>
      <c r="H215" s="3">
        <v>35</v>
      </c>
      <c r="I215" s="3" t="s">
        <v>68</v>
      </c>
      <c r="J215" s="3" t="s">
        <v>33</v>
      </c>
      <c r="K215" s="3" t="s">
        <v>34</v>
      </c>
      <c r="L215" s="3" t="s">
        <v>38</v>
      </c>
      <c r="M215" s="3">
        <v>1.46</v>
      </c>
      <c r="N215" s="3">
        <v>215.7</v>
      </c>
      <c r="O215" s="3">
        <v>242.1</v>
      </c>
      <c r="P215" s="3">
        <v>109.9</v>
      </c>
      <c r="Q215" s="8">
        <v>7276382</v>
      </c>
      <c r="R215" s="8">
        <v>5000000</v>
      </c>
      <c r="S215" s="8">
        <v>-1027111</v>
      </c>
      <c r="T215" s="3">
        <v>232</v>
      </c>
      <c r="U215" s="3">
        <v>641</v>
      </c>
      <c r="V215" s="3"/>
      <c r="W215" s="8">
        <v>-538220</v>
      </c>
      <c r="X215" s="3" t="s">
        <v>209</v>
      </c>
      <c r="Y215" s="3" t="s">
        <v>210</v>
      </c>
      <c r="Z215" s="3" t="s">
        <v>211</v>
      </c>
      <c r="AA215" s="3" t="s">
        <v>42</v>
      </c>
      <c r="AB215" s="3"/>
      <c r="AC215" s="8">
        <v>176161.20822</v>
      </c>
      <c r="AD215" s="8">
        <v>355410.74462751532</v>
      </c>
      <c r="AE215" s="8">
        <v>632489.65921548917</v>
      </c>
      <c r="AF215" s="8">
        <f>VALUE(SUBSTITUTE(LEFT(Z215, FIND(" ", Z215) - 1), ",", ""))</f>
        <v>605980</v>
      </c>
      <c r="AG215" s="15">
        <f ca="1">(AF215/YEARFRAC(A215,TODAY())/P215)</f>
        <v>1611.2109001098993</v>
      </c>
      <c r="AI215" s="8">
        <f>VALUE(SUBSTITUTE(LEFT(X215, FIND(" ", X215) - 1), ",", ""))</f>
        <v>613512</v>
      </c>
      <c r="AK215" s="20" t="str">
        <f>IF(AI215&gt;AC215, "YES","")</f>
        <v>YES</v>
      </c>
    </row>
    <row r="216" spans="1:37" x14ac:dyDescent="0.25">
      <c r="A216" s="5">
        <v>45469</v>
      </c>
      <c r="B216" s="3" t="s">
        <v>44</v>
      </c>
      <c r="C216" s="3">
        <v>41</v>
      </c>
      <c r="D216" s="3" t="s">
        <v>43</v>
      </c>
      <c r="E216" s="3" t="s">
        <v>33</v>
      </c>
      <c r="F216" s="3" t="s">
        <v>34</v>
      </c>
      <c r="G216" s="3" t="s">
        <v>35</v>
      </c>
      <c r="H216" s="3">
        <v>40</v>
      </c>
      <c r="I216" s="3" t="s">
        <v>36</v>
      </c>
      <c r="J216" s="3" t="s">
        <v>33</v>
      </c>
      <c r="K216" s="3" t="s">
        <v>37</v>
      </c>
      <c r="L216" s="3" t="s">
        <v>38</v>
      </c>
      <c r="M216" s="3">
        <v>3.44</v>
      </c>
      <c r="N216" s="3">
        <v>37.700000000000003</v>
      </c>
      <c r="O216" s="3">
        <v>14.6</v>
      </c>
      <c r="P216" s="3">
        <v>61.9</v>
      </c>
      <c r="Q216" s="8">
        <v>120388690</v>
      </c>
      <c r="R216" s="8">
        <v>35000000</v>
      </c>
      <c r="S216" s="8">
        <v>-4149216</v>
      </c>
      <c r="T216" s="3">
        <v>61</v>
      </c>
      <c r="U216" s="3">
        <v>82</v>
      </c>
      <c r="V216" s="3"/>
      <c r="W216" s="8">
        <v>-3862934</v>
      </c>
      <c r="X216" s="3" t="s">
        <v>760</v>
      </c>
      <c r="Y216" s="3" t="s">
        <v>761</v>
      </c>
      <c r="Z216" s="3" t="s">
        <v>762</v>
      </c>
      <c r="AA216" s="3" t="s">
        <v>763</v>
      </c>
      <c r="AB216" s="3"/>
      <c r="AC216" s="8">
        <v>175767.48740000001</v>
      </c>
      <c r="AD216" s="8">
        <v>2372208.7238329919</v>
      </c>
      <c r="AE216" s="8">
        <v>641105.87512648082</v>
      </c>
      <c r="AF216" s="8">
        <f>VALUE(SUBSTITUTE(LEFT(Z216, FIND(" ", Z216) - 1), ",", ""))</f>
        <v>954912</v>
      </c>
      <c r="AG216" s="15">
        <f ca="1">(AF216/YEARFRAC(A216,TODAY())/P216)</f>
        <v>10618.752876563383</v>
      </c>
      <c r="AI216" s="8">
        <f>VALUE(SUBSTITUTE(LEFT(X216, FIND(" ", X216) - 1), ",", ""))</f>
        <v>968872</v>
      </c>
      <c r="AK216" s="20" t="str">
        <f>IF(AI216&gt;AC216, "YES","")</f>
        <v>YES</v>
      </c>
    </row>
    <row r="217" spans="1:37" x14ac:dyDescent="0.25">
      <c r="A217" s="5">
        <v>45373</v>
      </c>
      <c r="B217" s="3" t="s">
        <v>58</v>
      </c>
      <c r="C217" s="3">
        <v>39</v>
      </c>
      <c r="D217" s="3" t="s">
        <v>68</v>
      </c>
      <c r="E217" s="3" t="s">
        <v>33</v>
      </c>
      <c r="F217" s="3" t="s">
        <v>37</v>
      </c>
      <c r="G217" s="3" t="s">
        <v>35</v>
      </c>
      <c r="H217" s="3">
        <v>40</v>
      </c>
      <c r="I217" s="3" t="s">
        <v>82</v>
      </c>
      <c r="J217" s="3" t="s">
        <v>33</v>
      </c>
      <c r="K217" s="3" t="s">
        <v>34</v>
      </c>
      <c r="L217" s="3" t="s">
        <v>38</v>
      </c>
      <c r="M217" s="3">
        <v>1.26</v>
      </c>
      <c r="N217" s="3">
        <v>230.9</v>
      </c>
      <c r="O217" s="3">
        <v>144.19999999999999</v>
      </c>
      <c r="P217" s="3">
        <v>155.30000000000001</v>
      </c>
      <c r="Q217" s="8">
        <v>5000000</v>
      </c>
      <c r="R217" s="8">
        <v>3961330</v>
      </c>
      <c r="S217" s="8">
        <v>-570886</v>
      </c>
      <c r="T217" s="3">
        <v>299</v>
      </c>
      <c r="U217" s="3">
        <v>641</v>
      </c>
      <c r="V217" s="3"/>
      <c r="W217" s="8">
        <v>37578</v>
      </c>
      <c r="X217" s="3" t="s">
        <v>644</v>
      </c>
      <c r="Y217" s="3" t="s">
        <v>645</v>
      </c>
      <c r="Z217" s="3" t="s">
        <v>646</v>
      </c>
      <c r="AA217" s="3" t="s">
        <v>647</v>
      </c>
      <c r="AB217" s="3"/>
      <c r="AC217" s="8">
        <v>72100</v>
      </c>
      <c r="AD217" s="8">
        <v>645539.91157289536</v>
      </c>
      <c r="AE217" s="8">
        <v>645539.91157289536</v>
      </c>
      <c r="AF217" s="8">
        <f>VALUE(SUBSTITUTE(LEFT(Z217, FIND(" ", Z217) - 1), ",", ""))</f>
        <v>508774</v>
      </c>
      <c r="AG217" s="15">
        <f ca="1">(AF217/YEARFRAC(A217,TODAY())/P217)</f>
        <v>1911.4845423872446</v>
      </c>
      <c r="AI217" s="8">
        <f>VALUE(SUBSTITUTE(LEFT(X217, FIND(" ", X217) - 1), ",", ""))</f>
        <v>533888</v>
      </c>
      <c r="AK217" s="20" t="str">
        <f>IF(AI217&gt;AC217, "YES","")</f>
        <v>YES</v>
      </c>
    </row>
    <row r="218" spans="1:37" x14ac:dyDescent="0.25">
      <c r="A218" s="5">
        <v>44636</v>
      </c>
      <c r="B218" s="20" t="s">
        <v>44</v>
      </c>
      <c r="C218" s="20">
        <v>36</v>
      </c>
      <c r="D218" s="20" t="s">
        <v>45</v>
      </c>
      <c r="E218" s="20" t="s">
        <v>33</v>
      </c>
      <c r="F218" s="20" t="s">
        <v>37</v>
      </c>
      <c r="G218" s="20" t="s">
        <v>31</v>
      </c>
      <c r="H218" s="20">
        <v>35</v>
      </c>
      <c r="I218" s="20" t="s">
        <v>32</v>
      </c>
      <c r="J218" s="20" t="s">
        <v>33</v>
      </c>
      <c r="K218" s="20" t="s">
        <v>34</v>
      </c>
      <c r="L218" s="20" t="s">
        <v>38</v>
      </c>
      <c r="M218" s="20">
        <v>0.23</v>
      </c>
      <c r="N218" s="20">
        <v>849.7</v>
      </c>
      <c r="O218" s="20">
        <v>260.89999999999998</v>
      </c>
      <c r="P218" s="20">
        <v>230.6</v>
      </c>
      <c r="Q218" s="8">
        <v>2284203</v>
      </c>
      <c r="R218" s="8">
        <v>10000000</v>
      </c>
      <c r="S218" s="8">
        <v>-311505</v>
      </c>
      <c r="T218" s="20">
        <v>145</v>
      </c>
      <c r="U218" s="20">
        <v>215</v>
      </c>
      <c r="V218" s="20"/>
      <c r="W218" s="8">
        <v>-170872</v>
      </c>
      <c r="X218" s="20" t="s">
        <v>131</v>
      </c>
      <c r="Y218" s="20" t="s">
        <v>132</v>
      </c>
      <c r="Z218" s="20" t="s">
        <v>133</v>
      </c>
      <c r="AA218" s="20" t="s">
        <v>134</v>
      </c>
      <c r="AB218" s="3"/>
      <c r="AC218" s="8">
        <v>59594.856269999997</v>
      </c>
      <c r="AD218" s="8">
        <v>651593.58880219015</v>
      </c>
      <c r="AE218" s="8">
        <v>651593.58880219015</v>
      </c>
      <c r="AF218" s="8">
        <f>VALUE(SUBSTITUTE(LEFT(Z218, FIND(" ", Z218) - 1), ",", ""))</f>
        <v>646047</v>
      </c>
      <c r="AG218" s="15">
        <f ca="1">(AF218/YEARFRAC(A218,TODAY())/P218)</f>
        <v>750.98506340738231</v>
      </c>
      <c r="AI218" s="8">
        <f>VALUE(SUBSTITUTE(LEFT(X218, FIND(" ", X218) - 1), ",", ""))</f>
        <v>646768</v>
      </c>
      <c r="AK218" s="20" t="str">
        <f>IF(AI218&gt;AC218, "YES","")</f>
        <v>YES</v>
      </c>
    </row>
    <row r="219" spans="1:37" x14ac:dyDescent="0.25">
      <c r="A219" s="5">
        <v>45744</v>
      </c>
      <c r="B219" s="20" t="s">
        <v>35</v>
      </c>
      <c r="C219" s="20">
        <v>41</v>
      </c>
      <c r="D219" s="20" t="s">
        <v>43</v>
      </c>
      <c r="E219" s="20" t="s">
        <v>33</v>
      </c>
      <c r="F219" s="20" t="s">
        <v>37</v>
      </c>
      <c r="G219" s="20" t="s">
        <v>31</v>
      </c>
      <c r="H219" s="20">
        <v>43</v>
      </c>
      <c r="I219" s="20" t="s">
        <v>142</v>
      </c>
      <c r="J219" s="20" t="s">
        <v>33</v>
      </c>
      <c r="K219" s="20" t="s">
        <v>34</v>
      </c>
      <c r="L219" s="20" t="s">
        <v>38</v>
      </c>
      <c r="M219" s="20">
        <v>0.26</v>
      </c>
      <c r="N219" s="20">
        <v>32.4</v>
      </c>
      <c r="O219" s="20">
        <v>154.4</v>
      </c>
      <c r="P219" s="20">
        <v>124.6</v>
      </c>
      <c r="Q219" s="8">
        <v>6623819</v>
      </c>
      <c r="R219" s="8">
        <v>25000000</v>
      </c>
      <c r="S219" s="8">
        <v>-415439</v>
      </c>
      <c r="T219" s="20">
        <v>256</v>
      </c>
      <c r="U219" s="20">
        <v>72</v>
      </c>
      <c r="V219" s="20"/>
      <c r="W219" s="8">
        <v>-415439</v>
      </c>
      <c r="X219" s="20" t="s">
        <v>1017</v>
      </c>
      <c r="Y219" s="20" t="s">
        <v>1018</v>
      </c>
      <c r="Z219" s="20" t="s">
        <v>1019</v>
      </c>
      <c r="AA219" s="20" t="s">
        <v>1020</v>
      </c>
      <c r="AB219" s="3"/>
      <c r="AC219" s="8">
        <v>102271.76536</v>
      </c>
      <c r="AD219" s="8">
        <v>134304.47888295681</v>
      </c>
      <c r="AE219" s="8">
        <v>660434.3451583893</v>
      </c>
      <c r="AF219" s="8">
        <f>VALUE(SUBSTITUTE(LEFT(Z219, FIND(" ", Z219) - 1), ",", ""))</f>
        <v>111716</v>
      </c>
      <c r="AG219" s="15">
        <f ca="1">(AF219/YEARFRAC(A219,TODAY())/P219)</f>
        <v>1285.9560154246578</v>
      </c>
      <c r="AI219" s="8">
        <f>VALUE(SUBSTITUTE(LEFT(X219, FIND(" ", X219) - 1), ",", ""))</f>
        <v>145913</v>
      </c>
      <c r="AK219" s="20" t="str">
        <f>IF(AI219&gt;AC219, "YES","")</f>
        <v>YES</v>
      </c>
    </row>
    <row r="220" spans="1:37" x14ac:dyDescent="0.25">
      <c r="A220" s="5">
        <v>44701</v>
      </c>
      <c r="B220" s="3" t="s">
        <v>35</v>
      </c>
      <c r="C220" s="3">
        <v>36</v>
      </c>
      <c r="D220" s="3" t="s">
        <v>43</v>
      </c>
      <c r="E220" s="3" t="s">
        <v>33</v>
      </c>
      <c r="F220" s="3" t="s">
        <v>37</v>
      </c>
      <c r="G220" s="3" t="s">
        <v>31</v>
      </c>
      <c r="H220" s="3">
        <v>35</v>
      </c>
      <c r="I220" s="3" t="s">
        <v>32</v>
      </c>
      <c r="J220" s="3" t="s">
        <v>33</v>
      </c>
      <c r="K220" s="3" t="s">
        <v>34</v>
      </c>
      <c r="L220" s="3" t="s">
        <v>38</v>
      </c>
      <c r="M220" s="3">
        <v>0.34</v>
      </c>
      <c r="N220" s="3">
        <v>465.3</v>
      </c>
      <c r="O220" s="3">
        <v>461.5</v>
      </c>
      <c r="P220" s="3">
        <v>146.4</v>
      </c>
      <c r="Q220" s="8">
        <v>3449389</v>
      </c>
      <c r="R220" s="8">
        <v>10000000</v>
      </c>
      <c r="S220" s="8">
        <v>-662445</v>
      </c>
      <c r="T220" s="3">
        <v>460</v>
      </c>
      <c r="U220" s="3">
        <v>309</v>
      </c>
      <c r="V220" s="3"/>
      <c r="W220" s="8">
        <v>-125416</v>
      </c>
      <c r="X220" s="3" t="s">
        <v>157</v>
      </c>
      <c r="Y220" s="3" t="s">
        <v>158</v>
      </c>
      <c r="Z220" s="3" t="s">
        <v>159</v>
      </c>
      <c r="AA220" s="3" t="s">
        <v>42</v>
      </c>
      <c r="AB220" s="3"/>
      <c r="AC220" s="8">
        <v>159189.30235000001</v>
      </c>
      <c r="AD220" s="8">
        <v>380601.17056810408</v>
      </c>
      <c r="AE220" s="8">
        <v>664344.1670343118</v>
      </c>
      <c r="AF220" s="8">
        <f>VALUE(SUBSTITUTE(LEFT(Z220, FIND(" ", Z220) - 1), ",", ""))</f>
        <v>474895</v>
      </c>
      <c r="AG220" s="15">
        <f ca="1">(AF220/YEARFRAC(A220,TODAY())/P220)</f>
        <v>913.03720888501516</v>
      </c>
      <c r="AI220" s="8">
        <f>VALUE(SUBSTITUTE(LEFT(X220, FIND(" ", X220) - 1), ",", ""))</f>
        <v>529814</v>
      </c>
      <c r="AK220" s="20" t="str">
        <f>IF(AI220&gt;AC220, "YES","")</f>
        <v>YES</v>
      </c>
    </row>
    <row r="221" spans="1:37" x14ac:dyDescent="0.25">
      <c r="A221" s="5">
        <v>45049</v>
      </c>
      <c r="B221" s="3" t="s">
        <v>44</v>
      </c>
      <c r="C221" s="3">
        <v>38</v>
      </c>
      <c r="D221" s="3" t="s">
        <v>43</v>
      </c>
      <c r="E221" s="3" t="s">
        <v>33</v>
      </c>
      <c r="F221" s="3" t="s">
        <v>37</v>
      </c>
      <c r="G221" s="3" t="s">
        <v>58</v>
      </c>
      <c r="H221" s="3">
        <v>37</v>
      </c>
      <c r="I221" s="3" t="s">
        <v>68</v>
      </c>
      <c r="J221" s="3" t="s">
        <v>33</v>
      </c>
      <c r="K221" s="3" t="s">
        <v>34</v>
      </c>
      <c r="L221" s="3" t="s">
        <v>38</v>
      </c>
      <c r="M221" s="3">
        <v>2.54</v>
      </c>
      <c r="N221" s="3">
        <v>134.6</v>
      </c>
      <c r="O221" s="3">
        <v>70.3</v>
      </c>
      <c r="P221" s="3">
        <v>401.2</v>
      </c>
      <c r="Q221" s="8">
        <v>12706595</v>
      </c>
      <c r="R221" s="8">
        <v>5000000</v>
      </c>
      <c r="S221" s="8">
        <v>-164439</v>
      </c>
      <c r="T221" s="3">
        <v>80</v>
      </c>
      <c r="U221" s="3">
        <v>535</v>
      </c>
      <c r="V221" s="3"/>
      <c r="W221" s="8">
        <v>128071</v>
      </c>
      <c r="X221" s="3" t="s">
        <v>313</v>
      </c>
      <c r="Y221" s="3" t="s">
        <v>314</v>
      </c>
      <c r="Z221" s="3" t="s">
        <v>315</v>
      </c>
      <c r="AA221" s="3" t="s">
        <v>42</v>
      </c>
      <c r="AB221" s="3"/>
      <c r="AC221" s="8">
        <v>89327.36284999999</v>
      </c>
      <c r="AD221" s="8">
        <v>500961.06798083498</v>
      </c>
      <c r="AE221" s="8">
        <v>678108.58357960149</v>
      </c>
      <c r="AF221" s="8">
        <f>VALUE(SUBSTITUTE(LEFT(Z221, FIND(" ", Z221) - 1), ",", ""))</f>
        <v>528743</v>
      </c>
      <c r="AG221" s="15">
        <f ca="1">(AF221/YEARFRAC(A221,TODAY())/P221)</f>
        <v>506.88607255157609</v>
      </c>
      <c r="AI221" s="8">
        <f>VALUE(SUBSTITUTE(LEFT(X221, FIND(" ", X221) - 1), ",", ""))</f>
        <v>608773</v>
      </c>
      <c r="AK221" s="20" t="str">
        <f>IF(AI221&gt;AC221, "YES","")</f>
        <v>YES</v>
      </c>
    </row>
    <row r="222" spans="1:37" x14ac:dyDescent="0.25">
      <c r="A222" s="5">
        <v>44545</v>
      </c>
      <c r="B222" s="3" t="s">
        <v>35</v>
      </c>
      <c r="C222" s="3">
        <v>34</v>
      </c>
      <c r="D222" s="3" t="s">
        <v>49</v>
      </c>
      <c r="E222" s="3" t="s">
        <v>33</v>
      </c>
      <c r="F222" s="3" t="s">
        <v>34</v>
      </c>
      <c r="G222" s="3" t="s">
        <v>35</v>
      </c>
      <c r="H222" s="3">
        <v>34</v>
      </c>
      <c r="I222" s="3" t="s">
        <v>36</v>
      </c>
      <c r="J222" s="3" t="s">
        <v>33</v>
      </c>
      <c r="K222" s="3" t="s">
        <v>37</v>
      </c>
      <c r="L222" s="3" t="s">
        <v>38</v>
      </c>
      <c r="M222" s="3">
        <v>0.38</v>
      </c>
      <c r="N222" s="3">
        <v>346.1</v>
      </c>
      <c r="O222" s="3">
        <v>415.6</v>
      </c>
      <c r="P222" s="3">
        <v>63.3</v>
      </c>
      <c r="Q222" s="8">
        <v>5000000</v>
      </c>
      <c r="R222" s="8">
        <v>13293237</v>
      </c>
      <c r="S222" s="8">
        <v>-1601540</v>
      </c>
      <c r="T222" s="3">
        <v>96</v>
      </c>
      <c r="U222" s="3">
        <v>-93</v>
      </c>
      <c r="V222" s="3"/>
      <c r="W222" s="8">
        <v>-1601540</v>
      </c>
      <c r="X222" s="3" t="s">
        <v>103</v>
      </c>
      <c r="Y222" s="3" t="s">
        <v>104</v>
      </c>
      <c r="Z222" s="3" t="s">
        <v>105</v>
      </c>
      <c r="AA222" s="3" t="s">
        <v>106</v>
      </c>
      <c r="AB222" s="3"/>
      <c r="AC222" s="8">
        <v>207800</v>
      </c>
      <c r="AD222" s="8">
        <v>688857.86341026681</v>
      </c>
      <c r="AE222" s="8">
        <v>688857.86341026681</v>
      </c>
      <c r="AF222" s="8">
        <f>VALUE(SUBSTITUTE(LEFT(Z222, FIND(" ", Z222) - 1), ",", ""))</f>
        <v>478311</v>
      </c>
      <c r="AG222" s="15">
        <f ca="1">(AF222/YEARFRAC(A222,TODAY())/P222)</f>
        <v>1896.968014436138</v>
      </c>
      <c r="AI222" s="8">
        <f>VALUE(SUBSTITUTE(LEFT(X222, FIND(" ", X222) - 1), ",", ""))</f>
        <v>715957</v>
      </c>
      <c r="AK222" s="20" t="str">
        <f>IF(AI222&gt;AC222, "YES","")</f>
        <v>YES</v>
      </c>
    </row>
    <row r="223" spans="1:37" hidden="1" x14ac:dyDescent="0.25">
      <c r="A223" s="5">
        <v>45373</v>
      </c>
      <c r="B223" s="3" t="s">
        <v>31</v>
      </c>
      <c r="C223" s="3">
        <v>42</v>
      </c>
      <c r="D223" s="3" t="s">
        <v>43</v>
      </c>
      <c r="E223" s="3" t="s">
        <v>33</v>
      </c>
      <c r="F223" s="3" t="s">
        <v>37</v>
      </c>
      <c r="G223" s="3" t="s">
        <v>58</v>
      </c>
      <c r="H223" s="3">
        <v>41</v>
      </c>
      <c r="I223" s="3" t="s">
        <v>43</v>
      </c>
      <c r="J223" s="3" t="s">
        <v>33</v>
      </c>
      <c r="K223" s="3" t="s">
        <v>34</v>
      </c>
      <c r="L223" s="3" t="s">
        <v>38</v>
      </c>
      <c r="M223" s="3">
        <v>5.89</v>
      </c>
      <c r="N223" s="3">
        <v>2.4</v>
      </c>
      <c r="O223" s="3">
        <v>12.4</v>
      </c>
      <c r="P223" s="3">
        <v>45.5</v>
      </c>
      <c r="Q223" s="8">
        <v>294328886</v>
      </c>
      <c r="R223" s="8">
        <v>50000000</v>
      </c>
      <c r="S223" s="8">
        <v>-2390471</v>
      </c>
      <c r="T223" s="3">
        <v>52</v>
      </c>
      <c r="U223" s="3">
        <v>317</v>
      </c>
      <c r="V223" s="3"/>
      <c r="W223" s="8">
        <v>-1333067</v>
      </c>
      <c r="X223" s="3" t="s">
        <v>655</v>
      </c>
      <c r="Y223" s="3" t="s">
        <v>656</v>
      </c>
      <c r="Z223" s="3" t="s">
        <v>657</v>
      </c>
      <c r="AA223" s="3" t="s">
        <v>42</v>
      </c>
      <c r="AB223" s="3"/>
      <c r="AC223" s="8">
        <v>364967.81864000001</v>
      </c>
      <c r="AD223" s="8">
        <v>-503949.50580479112</v>
      </c>
      <c r="AE223" s="8">
        <v>689404.68798548123</v>
      </c>
      <c r="AF223" s="8">
        <f>VALUE(SUBSTITUTE(LEFT(Z223, FIND(" ", Z223) - 1), ",", ""))</f>
        <v>493180</v>
      </c>
      <c r="AG223" s="15">
        <f ca="1">(AF223/YEARFRAC(A223,TODAY())/P223)</f>
        <v>6324.2844675583738</v>
      </c>
      <c r="AI223" s="8">
        <f>VALUE(SUBSTITUTE(LEFT(X223, FIND(" ", X223) - 1), ",", ""))</f>
        <v>2502603</v>
      </c>
      <c r="AK223" s="20" t="str">
        <f>IF(AI223&gt;AC223, "YES","")</f>
        <v>YES</v>
      </c>
    </row>
    <row r="224" spans="1:37" x14ac:dyDescent="0.25">
      <c r="A224" s="5">
        <v>45049</v>
      </c>
      <c r="B224" s="3" t="s">
        <v>44</v>
      </c>
      <c r="C224" s="3">
        <v>37</v>
      </c>
      <c r="D224" s="3" t="s">
        <v>43</v>
      </c>
      <c r="E224" s="3" t="s">
        <v>33</v>
      </c>
      <c r="F224" s="3" t="s">
        <v>37</v>
      </c>
      <c r="G224" s="3" t="s">
        <v>58</v>
      </c>
      <c r="H224" s="3">
        <v>37</v>
      </c>
      <c r="I224" s="3" t="s">
        <v>68</v>
      </c>
      <c r="J224" s="3" t="s">
        <v>33</v>
      </c>
      <c r="K224" s="3" t="s">
        <v>34</v>
      </c>
      <c r="L224" s="3" t="s">
        <v>38</v>
      </c>
      <c r="M224" s="3">
        <v>3.34</v>
      </c>
      <c r="N224" s="3">
        <v>89.7</v>
      </c>
      <c r="O224" s="3">
        <v>54.2</v>
      </c>
      <c r="P224" s="3">
        <v>343.6</v>
      </c>
      <c r="Q224" s="8">
        <v>16714546</v>
      </c>
      <c r="R224" s="8">
        <v>5000000</v>
      </c>
      <c r="S224" s="8">
        <v>-225138</v>
      </c>
      <c r="T224" s="3">
        <v>73</v>
      </c>
      <c r="U224" s="3">
        <v>535</v>
      </c>
      <c r="V224" s="3"/>
      <c r="W224" s="8">
        <v>118489</v>
      </c>
      <c r="X224" s="3" t="s">
        <v>319</v>
      </c>
      <c r="Y224" s="3" t="s">
        <v>320</v>
      </c>
      <c r="Z224" s="3" t="s">
        <v>321</v>
      </c>
      <c r="AA224" s="3" t="s">
        <v>42</v>
      </c>
      <c r="AB224" s="3"/>
      <c r="AC224" s="8">
        <v>90592.839319999999</v>
      </c>
      <c r="AD224" s="8">
        <v>467762.01403915131</v>
      </c>
      <c r="AE224" s="8">
        <v>689496.49866502406</v>
      </c>
      <c r="AF224" s="8">
        <f>VALUE(SUBSTITUTE(LEFT(Z224, FIND(" ", Z224) - 1), ",", ""))</f>
        <v>495966</v>
      </c>
      <c r="AG224" s="15">
        <f ca="1">(AF224/YEARFRAC(A224,TODAY())/P224)</f>
        <v>555.16924867914383</v>
      </c>
      <c r="AI224" s="8">
        <f>VALUE(SUBSTITUTE(LEFT(X224, FIND(" ", X224) - 1), ",", ""))</f>
        <v>568399</v>
      </c>
      <c r="AK224" s="20" t="str">
        <f>IF(AI224&gt;AC224, "YES","")</f>
        <v>YES</v>
      </c>
    </row>
    <row r="225" spans="1:37" x14ac:dyDescent="0.25">
      <c r="A225" s="5">
        <v>45373</v>
      </c>
      <c r="B225" s="3" t="s">
        <v>31</v>
      </c>
      <c r="C225" s="3">
        <v>39</v>
      </c>
      <c r="D225" s="3" t="s">
        <v>43</v>
      </c>
      <c r="E225" s="3" t="s">
        <v>33</v>
      </c>
      <c r="F225" s="3" t="s">
        <v>37</v>
      </c>
      <c r="G225" s="3" t="s">
        <v>35</v>
      </c>
      <c r="H225" s="3">
        <v>40</v>
      </c>
      <c r="I225" s="3" t="s">
        <v>43</v>
      </c>
      <c r="J225" s="3" t="s">
        <v>33</v>
      </c>
      <c r="K225" s="3" t="s">
        <v>34</v>
      </c>
      <c r="L225" s="3" t="s">
        <v>38</v>
      </c>
      <c r="M225" s="3">
        <v>5.8</v>
      </c>
      <c r="N225" s="3">
        <v>16.899999999999999</v>
      </c>
      <c r="O225" s="3">
        <v>15.1</v>
      </c>
      <c r="P225" s="3">
        <v>24.4</v>
      </c>
      <c r="Q225" s="8">
        <v>70000000</v>
      </c>
      <c r="R225" s="8">
        <v>12062546</v>
      </c>
      <c r="S225" s="8">
        <v>-311515</v>
      </c>
      <c r="T225" s="3">
        <v>38</v>
      </c>
      <c r="U225" s="3">
        <v>315</v>
      </c>
      <c r="V225" s="3"/>
      <c r="W225" s="8">
        <v>-46325</v>
      </c>
      <c r="X225" s="3" t="s">
        <v>661</v>
      </c>
      <c r="Y225" s="3" t="s">
        <v>662</v>
      </c>
      <c r="Z225" s="3" t="s">
        <v>663</v>
      </c>
      <c r="AA225" s="3" t="s">
        <v>664</v>
      </c>
      <c r="AB225" s="3"/>
      <c r="AC225" s="8">
        <v>105700</v>
      </c>
      <c r="AD225" s="8">
        <v>807612.11517043132</v>
      </c>
      <c r="AE225" s="8">
        <v>689576.09403121239</v>
      </c>
      <c r="AF225" s="8">
        <f>VALUE(SUBSTITUTE(LEFT(Z225, FIND(" ", Z225) - 1), ",", ""))</f>
        <v>624526</v>
      </c>
      <c r="AG225" s="15">
        <f ca="1">(AF225/YEARFRAC(A225,TODAY())/P225)</f>
        <v>14934.064882960916</v>
      </c>
      <c r="AI225" s="8">
        <f>VALUE(SUBSTITUTE(LEFT(X225, FIND(" ", X225) - 1), ",", ""))</f>
        <v>674848</v>
      </c>
      <c r="AK225" s="20" t="str">
        <f>IF(AI225&gt;AC225, "YES","")</f>
        <v>YES</v>
      </c>
    </row>
    <row r="226" spans="1:37" x14ac:dyDescent="0.25">
      <c r="A226" s="17">
        <v>45757</v>
      </c>
      <c r="B226" s="12" t="s">
        <v>58</v>
      </c>
      <c r="C226" s="12">
        <v>41</v>
      </c>
      <c r="D226" s="12" t="s">
        <v>68</v>
      </c>
      <c r="E226" s="12" t="s">
        <v>33</v>
      </c>
      <c r="F226" s="12" t="s">
        <v>37</v>
      </c>
      <c r="G226" s="12" t="s">
        <v>44</v>
      </c>
      <c r="H226" s="12">
        <v>42</v>
      </c>
      <c r="I226" s="12" t="s">
        <v>45</v>
      </c>
      <c r="J226" s="12" t="s">
        <v>33</v>
      </c>
      <c r="K226" s="12" t="s">
        <v>34</v>
      </c>
      <c r="L226" s="12" t="s">
        <v>38</v>
      </c>
      <c r="M226" s="12">
        <v>0.17</v>
      </c>
      <c r="N226" s="12">
        <v>382.8</v>
      </c>
      <c r="O226" s="12">
        <v>218.1</v>
      </c>
      <c r="P226" s="12">
        <v>229.8</v>
      </c>
      <c r="Q226" s="16">
        <v>3478768</v>
      </c>
      <c r="R226" s="16">
        <v>20000000</v>
      </c>
      <c r="S226" s="16">
        <v>-374681</v>
      </c>
      <c r="T226" s="12">
        <v>471</v>
      </c>
      <c r="U226" s="12">
        <v>138</v>
      </c>
      <c r="V226" s="12"/>
      <c r="W226" s="16">
        <v>178926</v>
      </c>
      <c r="X226" s="12" t="s">
        <v>1055</v>
      </c>
      <c r="Y226" s="12" t="s">
        <v>1056</v>
      </c>
      <c r="Z226" s="12" t="s">
        <v>1057</v>
      </c>
      <c r="AA226" s="12" t="s">
        <v>1058</v>
      </c>
      <c r="AB226" s="3"/>
      <c r="AC226" s="8">
        <v>75871.930080000006</v>
      </c>
      <c r="AD226" s="8">
        <v>690328.64262833679</v>
      </c>
      <c r="AE226" s="8">
        <v>690328.64262833679</v>
      </c>
      <c r="AF226" s="8">
        <f>VALUE(SUBSTITUTE(LEFT(Z226, FIND(" ", Z226) - 1), ",", ""))</f>
        <v>276451</v>
      </c>
      <c r="AG226" s="15">
        <f ca="1">(AF226/YEARFRAC(A226,TODAY())/P226)</f>
        <v>1812.0606967674273</v>
      </c>
      <c r="AI226" s="8">
        <f>VALUE(SUBSTITUTE(LEFT(X226, FIND(" ", X226) - 1), ",", ""))</f>
        <v>303087</v>
      </c>
      <c r="AK226" s="20" t="str">
        <f>IF(AI226&gt;AC226, "YES","")</f>
        <v>YES</v>
      </c>
    </row>
    <row r="227" spans="1:37" x14ac:dyDescent="0.25">
      <c r="A227" s="5">
        <v>44545</v>
      </c>
      <c r="B227" s="20" t="s">
        <v>44</v>
      </c>
      <c r="C227" s="20">
        <v>36</v>
      </c>
      <c r="D227" s="20" t="s">
        <v>45</v>
      </c>
      <c r="E227" s="20" t="s">
        <v>33</v>
      </c>
      <c r="F227" s="20" t="s">
        <v>37</v>
      </c>
      <c r="G227" s="20" t="s">
        <v>44</v>
      </c>
      <c r="H227" s="20">
        <v>36</v>
      </c>
      <c r="I227" s="20" t="s">
        <v>50</v>
      </c>
      <c r="J227" s="20" t="s">
        <v>33</v>
      </c>
      <c r="K227" s="20" t="s">
        <v>34</v>
      </c>
      <c r="L227" s="20" t="s">
        <v>38</v>
      </c>
      <c r="M227" s="20">
        <v>0.54</v>
      </c>
      <c r="N227" s="20">
        <v>308.10000000000002</v>
      </c>
      <c r="O227" s="20">
        <v>143.80000000000001</v>
      </c>
      <c r="P227" s="20">
        <v>208.5</v>
      </c>
      <c r="Q227" s="8">
        <v>5398481</v>
      </c>
      <c r="R227" s="8">
        <v>10000000</v>
      </c>
      <c r="S227" s="8">
        <v>-507340</v>
      </c>
      <c r="T227" s="20">
        <v>91</v>
      </c>
      <c r="U227" s="20">
        <v>190</v>
      </c>
      <c r="V227" s="20"/>
      <c r="W227" s="8">
        <v>-302125</v>
      </c>
      <c r="X227" s="20" t="s">
        <v>90</v>
      </c>
      <c r="Y227" s="20" t="s">
        <v>91</v>
      </c>
      <c r="Z227" s="20" t="s">
        <v>92</v>
      </c>
      <c r="AA227" s="20" t="s">
        <v>42</v>
      </c>
      <c r="AB227" s="3"/>
      <c r="AC227" s="8">
        <v>77630.156780000005</v>
      </c>
      <c r="AD227" s="8">
        <v>706201.14915783715</v>
      </c>
      <c r="AE227" s="8">
        <v>706201.14915783715</v>
      </c>
      <c r="AF227" s="8">
        <f>VALUE(SUBSTITUTE(LEFT(Z227, FIND(" ", Z227) - 1), ",", ""))</f>
        <v>719754</v>
      </c>
      <c r="AG227" s="15">
        <f ca="1">(AF227/YEARFRAC(A227,TODAY())/P227)</f>
        <v>866.62532735318018</v>
      </c>
      <c r="AI227" s="8">
        <f>VALUE(SUBSTITUTE(LEFT(X227, FIND(" ", X227) - 1), ",", ""))</f>
        <v>720701</v>
      </c>
      <c r="AK227" s="20" t="str">
        <f>IF(AI227&gt;AC227, "YES","")</f>
        <v>YES</v>
      </c>
    </row>
    <row r="228" spans="1:37" x14ac:dyDescent="0.25">
      <c r="A228" s="17">
        <v>45757</v>
      </c>
      <c r="B228" s="12" t="s">
        <v>31</v>
      </c>
      <c r="C228" s="12">
        <v>41</v>
      </c>
      <c r="D228" s="12" t="s">
        <v>32</v>
      </c>
      <c r="E228" s="12" t="s">
        <v>33</v>
      </c>
      <c r="F228" s="12" t="s">
        <v>37</v>
      </c>
      <c r="G228" s="12" t="s">
        <v>44</v>
      </c>
      <c r="H228" s="12">
        <v>42</v>
      </c>
      <c r="I228" s="12" t="s">
        <v>50</v>
      </c>
      <c r="J228" s="12" t="s">
        <v>33</v>
      </c>
      <c r="K228" s="12" t="s">
        <v>34</v>
      </c>
      <c r="L228" s="12" t="s">
        <v>38</v>
      </c>
      <c r="M228" s="12">
        <v>0.66</v>
      </c>
      <c r="N228" s="12">
        <v>223.3</v>
      </c>
      <c r="O228" s="12">
        <v>120.7</v>
      </c>
      <c r="P228" s="12">
        <v>188</v>
      </c>
      <c r="Q228" s="16">
        <v>6603955</v>
      </c>
      <c r="R228" s="16">
        <v>10000000</v>
      </c>
      <c r="S228" s="16">
        <v>-507090</v>
      </c>
      <c r="T228" s="12">
        <v>196</v>
      </c>
      <c r="U228" s="12">
        <v>254</v>
      </c>
      <c r="V228" s="12"/>
      <c r="W228" s="16">
        <v>872012</v>
      </c>
      <c r="X228" s="12" t="s">
        <v>1067</v>
      </c>
      <c r="Y228" s="12" t="s">
        <v>1068</v>
      </c>
      <c r="Z228" s="12" t="s">
        <v>1069</v>
      </c>
      <c r="AA228" s="12" t="s">
        <v>1070</v>
      </c>
      <c r="AB228" s="3"/>
      <c r="AC228" s="8">
        <v>79709.736850000001</v>
      </c>
      <c r="AD228" s="8">
        <v>714221.35715263523</v>
      </c>
      <c r="AE228" s="8">
        <v>714221.35715263523</v>
      </c>
      <c r="AF228" s="8">
        <f>VALUE(SUBSTITUTE(LEFT(Z228, FIND(" ", Z228) - 1), ",", ""))</f>
        <v>329460</v>
      </c>
      <c r="AG228" s="15">
        <f ca="1">(AF228/YEARFRAC(A228,TODAY())/P228)</f>
        <v>2639.6688329030535</v>
      </c>
      <c r="AI228" s="8">
        <f>VALUE(SUBSTITUTE(LEFT(X228, FIND(" ", X228) - 1), ",", ""))</f>
        <v>348699</v>
      </c>
      <c r="AK228" s="20" t="str">
        <f>IF(AI228&gt;AC228, "YES","")</f>
        <v>YES</v>
      </c>
    </row>
    <row r="229" spans="1:37" x14ac:dyDescent="0.25">
      <c r="A229" s="5">
        <v>44636</v>
      </c>
      <c r="B229" s="3" t="s">
        <v>35</v>
      </c>
      <c r="C229" s="3">
        <v>36</v>
      </c>
      <c r="D229" s="3" t="s">
        <v>36</v>
      </c>
      <c r="E229" s="3" t="s">
        <v>33</v>
      </c>
      <c r="F229" s="3" t="s">
        <v>37</v>
      </c>
      <c r="G229" s="3" t="s">
        <v>31</v>
      </c>
      <c r="H229" s="3">
        <v>35</v>
      </c>
      <c r="I229" s="3" t="s">
        <v>32</v>
      </c>
      <c r="J229" s="3" t="s">
        <v>33</v>
      </c>
      <c r="K229" s="3" t="s">
        <v>34</v>
      </c>
      <c r="L229" s="3" t="s">
        <v>38</v>
      </c>
      <c r="M229" s="3">
        <v>0.18</v>
      </c>
      <c r="N229" s="3">
        <v>1157.8</v>
      </c>
      <c r="O229" s="3">
        <v>407.6</v>
      </c>
      <c r="P229" s="3">
        <v>210.4</v>
      </c>
      <c r="Q229" s="8">
        <v>1791037</v>
      </c>
      <c r="R229" s="8">
        <v>10000000</v>
      </c>
      <c r="S229" s="8">
        <v>-671814</v>
      </c>
      <c r="T229" s="3">
        <v>111</v>
      </c>
      <c r="U229" s="3">
        <v>215</v>
      </c>
      <c r="V229" s="3"/>
      <c r="W229" s="8">
        <v>-625873</v>
      </c>
      <c r="X229" s="3" t="s">
        <v>135</v>
      </c>
      <c r="Y229" s="3" t="s">
        <v>136</v>
      </c>
      <c r="Z229" s="3" t="s">
        <v>137</v>
      </c>
      <c r="AA229" s="3" t="s">
        <v>42</v>
      </c>
      <c r="AB229" s="3"/>
      <c r="AC229" s="8">
        <v>73002.668120000002</v>
      </c>
      <c r="AD229" s="8">
        <v>714669.16189459269</v>
      </c>
      <c r="AE229" s="8">
        <v>714669.16189459269</v>
      </c>
      <c r="AF229" s="8">
        <f>VALUE(SUBSTITUTE(LEFT(Z229, FIND(" ", Z229) - 1), ",", ""))</f>
        <v>808311</v>
      </c>
      <c r="AG229" s="15">
        <f ca="1">(AF229/YEARFRAC(A229,TODAY())/P229)</f>
        <v>1029.8150669999914</v>
      </c>
      <c r="AI229" s="8">
        <f>VALUE(SUBSTITUTE(LEFT(X229, FIND(" ", X229) - 1), ",", ""))</f>
        <v>808391</v>
      </c>
      <c r="AK229" s="20" t="str">
        <f>IF(AI229&gt;AC229, "YES","")</f>
        <v>YES</v>
      </c>
    </row>
    <row r="230" spans="1:37" x14ac:dyDescent="0.25">
      <c r="A230" s="17">
        <v>45901</v>
      </c>
      <c r="B230" s="12" t="s">
        <v>58</v>
      </c>
      <c r="C230" s="12">
        <v>43</v>
      </c>
      <c r="D230" s="12" t="s">
        <v>43</v>
      </c>
      <c r="E230" s="12" t="s">
        <v>33</v>
      </c>
      <c r="F230" s="12" t="s">
        <v>34</v>
      </c>
      <c r="G230" s="12" t="s">
        <v>58</v>
      </c>
      <c r="H230" s="12">
        <v>42</v>
      </c>
      <c r="I230" s="12" t="s">
        <v>43</v>
      </c>
      <c r="J230" s="12" t="s">
        <v>33</v>
      </c>
      <c r="K230" s="12" t="s">
        <v>37</v>
      </c>
      <c r="L230" s="12" t="s">
        <v>38</v>
      </c>
      <c r="M230" s="12">
        <v>1.02</v>
      </c>
      <c r="N230" s="12">
        <v>38</v>
      </c>
      <c r="O230" s="12">
        <v>26.8</v>
      </c>
      <c r="P230" s="12">
        <v>74.3</v>
      </c>
      <c r="Q230" s="16">
        <v>25600000</v>
      </c>
      <c r="R230" s="16">
        <v>25000000</v>
      </c>
      <c r="S230" s="16">
        <v>-105344</v>
      </c>
      <c r="T230" s="12">
        <v>314</v>
      </c>
      <c r="U230" s="12">
        <v>276</v>
      </c>
      <c r="V230" s="12"/>
      <c r="W230" s="16">
        <v>1720438</v>
      </c>
      <c r="X230" s="12" t="s">
        <v>1191</v>
      </c>
      <c r="Y230" s="12" t="s">
        <v>1192</v>
      </c>
      <c r="Z230" s="12" t="s">
        <v>1193</v>
      </c>
      <c r="AA230" s="12" t="s">
        <v>1194</v>
      </c>
      <c r="AB230" s="3"/>
      <c r="AC230" s="8">
        <v>68608</v>
      </c>
      <c r="AD230" s="8">
        <v>835352.88158795284</v>
      </c>
      <c r="AE230" s="8">
        <v>719473.68107772153</v>
      </c>
      <c r="AF230" s="8">
        <f>VALUE(SUBSTITUTE(LEFT(Z230, FIND(" ", Z230) - 1), ",", ""))</f>
        <v>118391</v>
      </c>
      <c r="AG230" s="15">
        <f ca="1">(AF230/YEARFRAC(A230,TODAY())/P230)</f>
        <v>5853.3743510863305</v>
      </c>
      <c r="AI230" s="8">
        <f>VALUE(SUBSTITUTE(LEFT(X230, FIND(" ", X230) - 1), ",", ""))</f>
        <v>123916</v>
      </c>
      <c r="AK230" s="20" t="str">
        <f>IF(AI230&gt;AC230, "YES","")</f>
        <v>YES</v>
      </c>
    </row>
    <row r="231" spans="1:37" x14ac:dyDescent="0.25">
      <c r="A231" s="5">
        <v>45049</v>
      </c>
      <c r="B231" s="3" t="s">
        <v>35</v>
      </c>
      <c r="C231" s="3">
        <v>38</v>
      </c>
      <c r="D231" s="3" t="s">
        <v>43</v>
      </c>
      <c r="E231" s="3" t="s">
        <v>33</v>
      </c>
      <c r="F231" s="3" t="s">
        <v>37</v>
      </c>
      <c r="G231" s="3" t="s">
        <v>58</v>
      </c>
      <c r="H231" s="3">
        <v>37</v>
      </c>
      <c r="I231" s="3" t="s">
        <v>68</v>
      </c>
      <c r="J231" s="3" t="s">
        <v>33</v>
      </c>
      <c r="K231" s="3" t="s">
        <v>34</v>
      </c>
      <c r="L231" s="3" t="s">
        <v>38</v>
      </c>
      <c r="M231" s="3">
        <v>0.45</v>
      </c>
      <c r="N231" s="3">
        <v>804.1</v>
      </c>
      <c r="O231" s="3">
        <v>393.9</v>
      </c>
      <c r="P231" s="3">
        <v>454.4</v>
      </c>
      <c r="Q231" s="8">
        <v>2236380</v>
      </c>
      <c r="R231" s="8">
        <v>5000000</v>
      </c>
      <c r="S231" s="8">
        <v>-137239</v>
      </c>
      <c r="T231" s="3">
        <v>417</v>
      </c>
      <c r="U231" s="3">
        <v>535</v>
      </c>
      <c r="V231" s="3"/>
      <c r="W231" s="8">
        <v>72844</v>
      </c>
      <c r="X231" s="3" t="s">
        <v>303</v>
      </c>
      <c r="Y231" s="3" t="s">
        <v>304</v>
      </c>
      <c r="Z231" s="3" t="s">
        <v>305</v>
      </c>
      <c r="AA231" s="3" t="s">
        <v>42</v>
      </c>
      <c r="AB231" s="3"/>
      <c r="AC231" s="8">
        <v>88091.008199999982</v>
      </c>
      <c r="AD231" s="8">
        <v>539853.73899520875</v>
      </c>
      <c r="AE231" s="8">
        <v>724613.62957452377</v>
      </c>
      <c r="AF231" s="8">
        <f>VALUE(SUBSTITUTE(LEFT(Z231, FIND(" ", Z231) - 1), ",", ""))</f>
        <v>569005</v>
      </c>
      <c r="AG231" s="15">
        <f ca="1">(AF231/YEARFRAC(A231,TODAY())/P231)</f>
        <v>481.61988759479954</v>
      </c>
      <c r="AI231" s="8">
        <f>VALUE(SUBSTITUTE(LEFT(X231, FIND(" ", X231) - 1), ",", ""))</f>
        <v>621609</v>
      </c>
      <c r="AK231" s="20" t="str">
        <f>IF(AI231&gt;AC231, "YES","")</f>
        <v>YES</v>
      </c>
    </row>
    <row r="232" spans="1:37" x14ac:dyDescent="0.25">
      <c r="A232" s="5">
        <v>45049</v>
      </c>
      <c r="B232" s="20" t="s">
        <v>35</v>
      </c>
      <c r="C232" s="20">
        <v>37</v>
      </c>
      <c r="D232" s="20" t="s">
        <v>43</v>
      </c>
      <c r="E232" s="20" t="s">
        <v>33</v>
      </c>
      <c r="F232" s="20" t="s">
        <v>37</v>
      </c>
      <c r="G232" s="20" t="s">
        <v>58</v>
      </c>
      <c r="H232" s="20">
        <v>37</v>
      </c>
      <c r="I232" s="20" t="s">
        <v>68</v>
      </c>
      <c r="J232" s="20" t="s">
        <v>33</v>
      </c>
      <c r="K232" s="20" t="s">
        <v>34</v>
      </c>
      <c r="L232" s="20" t="s">
        <v>38</v>
      </c>
      <c r="M232" s="20">
        <v>0.57999999999999996</v>
      </c>
      <c r="N232" s="20">
        <v>551.29999999999995</v>
      </c>
      <c r="O232" s="20">
        <v>285.10000000000002</v>
      </c>
      <c r="P232" s="20">
        <v>436</v>
      </c>
      <c r="Q232" s="8">
        <v>2898588</v>
      </c>
      <c r="R232" s="8">
        <v>5000000</v>
      </c>
      <c r="S232" s="8">
        <v>-178621</v>
      </c>
      <c r="T232" s="20">
        <v>391</v>
      </c>
      <c r="U232" s="20">
        <v>535</v>
      </c>
      <c r="V232" s="20"/>
      <c r="W232" s="8">
        <v>78673</v>
      </c>
      <c r="X232" s="20" t="s">
        <v>310</v>
      </c>
      <c r="Y232" s="20" t="s">
        <v>311</v>
      </c>
      <c r="Z232" s="20" t="s">
        <v>312</v>
      </c>
      <c r="AA232" s="20" t="s">
        <v>42</v>
      </c>
      <c r="AB232" s="3"/>
      <c r="AC232" s="8">
        <v>82638.743879999995</v>
      </c>
      <c r="AD232" s="8">
        <v>503628.47551759059</v>
      </c>
      <c r="AE232" s="8">
        <v>731495.43866861402</v>
      </c>
      <c r="AF232" s="8">
        <f>VALUE(SUBSTITUTE(LEFT(Z232, FIND(" ", Z232) - 1), ",", ""))</f>
        <v>537548</v>
      </c>
      <c r="AG232" s="15">
        <f ca="1">(AF232/YEARFRAC(A232,TODAY())/P232)</f>
        <v>474.19548341566684</v>
      </c>
      <c r="AI232" s="8">
        <f>VALUE(SUBSTITUTE(LEFT(X232, FIND(" ", X232) - 1), ",", ""))</f>
        <v>588952</v>
      </c>
      <c r="AK232" s="20" t="str">
        <f>IF(AI232&gt;AC232, "YES","")</f>
        <v>YES</v>
      </c>
    </row>
    <row r="233" spans="1:37" x14ac:dyDescent="0.25">
      <c r="A233" s="5">
        <v>45398</v>
      </c>
      <c r="B233" s="3" t="s">
        <v>35</v>
      </c>
      <c r="C233" s="3">
        <v>40</v>
      </c>
      <c r="D233" s="3" t="s">
        <v>49</v>
      </c>
      <c r="E233" s="3" t="s">
        <v>33</v>
      </c>
      <c r="F233" s="3" t="s">
        <v>37</v>
      </c>
      <c r="G233" s="3" t="s">
        <v>35</v>
      </c>
      <c r="H233" s="3">
        <v>40</v>
      </c>
      <c r="I233" s="3" t="s">
        <v>82</v>
      </c>
      <c r="J233" s="3" t="s">
        <v>33</v>
      </c>
      <c r="K233" s="3" t="s">
        <v>34</v>
      </c>
      <c r="L233" s="3" t="s">
        <v>38</v>
      </c>
      <c r="M233" s="3">
        <v>1.49</v>
      </c>
      <c r="N233" s="3">
        <v>234.9</v>
      </c>
      <c r="O233" s="3">
        <v>71.7</v>
      </c>
      <c r="P233" s="3">
        <v>286.60000000000002</v>
      </c>
      <c r="Q233" s="8">
        <v>7468972</v>
      </c>
      <c r="R233" s="8">
        <v>5000000</v>
      </c>
      <c r="S233" s="8">
        <v>-1240037</v>
      </c>
      <c r="T233" s="3">
        <v>286</v>
      </c>
      <c r="U233" s="3">
        <v>741</v>
      </c>
      <c r="V233" s="3"/>
      <c r="W233" s="8">
        <v>-410447</v>
      </c>
      <c r="X233" s="3" t="s">
        <v>401</v>
      </c>
      <c r="Y233" s="3" t="s">
        <v>402</v>
      </c>
      <c r="Z233" s="3" t="s">
        <v>403</v>
      </c>
      <c r="AA233" s="3" t="s">
        <v>404</v>
      </c>
      <c r="AB233" s="3"/>
      <c r="AC233" s="8">
        <v>53552.529240000003</v>
      </c>
      <c r="AD233" s="8">
        <v>734074.10805530462</v>
      </c>
      <c r="AE233" s="8">
        <v>734074.10805530462</v>
      </c>
      <c r="AF233" s="8">
        <f>VALUE(SUBSTITUTE(LEFT(Z233, FIND(" ", Z233) - 1), ",", ""))</f>
        <v>663798</v>
      </c>
      <c r="AG233" s="15">
        <f ca="1">(AF233/YEARFRAC(A233,TODAY())/P233)</f>
        <v>1406.0720030973123</v>
      </c>
      <c r="AI233" s="8">
        <f>VALUE(SUBSTITUTE(LEFT(X233, FIND(" ", X233) - 1), ",", ""))</f>
        <v>679650</v>
      </c>
      <c r="AK233" s="20" t="str">
        <f>IF(AI233&gt;AC233, "YES","")</f>
        <v>YES</v>
      </c>
    </row>
    <row r="234" spans="1:37" x14ac:dyDescent="0.25">
      <c r="A234" s="5">
        <v>45754</v>
      </c>
      <c r="B234" s="3" t="s">
        <v>35</v>
      </c>
      <c r="C234" s="3">
        <v>42</v>
      </c>
      <c r="D234" s="3" t="s">
        <v>36</v>
      </c>
      <c r="E234" s="3" t="s">
        <v>33</v>
      </c>
      <c r="F234" s="3" t="s">
        <v>37</v>
      </c>
      <c r="G234" s="3" t="s">
        <v>35</v>
      </c>
      <c r="H234" s="3">
        <v>42</v>
      </c>
      <c r="I234" s="3" t="s">
        <v>49</v>
      </c>
      <c r="J234" s="3" t="s">
        <v>33</v>
      </c>
      <c r="K234" s="3" t="s">
        <v>34</v>
      </c>
      <c r="L234" s="3" t="s">
        <v>38</v>
      </c>
      <c r="M234" s="3">
        <v>1.48</v>
      </c>
      <c r="N234" s="3">
        <v>125.9</v>
      </c>
      <c r="O234" s="3">
        <v>135.19999999999999</v>
      </c>
      <c r="P234" s="3">
        <v>81.599999999999994</v>
      </c>
      <c r="Q234" s="8">
        <v>14792638</v>
      </c>
      <c r="R234" s="8">
        <v>10000000</v>
      </c>
      <c r="S234" s="8">
        <v>-1850196</v>
      </c>
      <c r="T234" s="3">
        <v>131</v>
      </c>
      <c r="U234" s="3">
        <v>351</v>
      </c>
      <c r="V234" s="3"/>
      <c r="W234" s="8">
        <v>-1485220</v>
      </c>
      <c r="X234" s="3" t="s">
        <v>599</v>
      </c>
      <c r="Y234" s="3" t="s">
        <v>600</v>
      </c>
      <c r="Z234" s="3" t="s">
        <v>601</v>
      </c>
      <c r="AA234" s="3" t="s">
        <v>602</v>
      </c>
      <c r="AB234" s="3"/>
      <c r="AC234" s="8">
        <v>199996.46575999999</v>
      </c>
      <c r="AD234" s="8">
        <v>739487.60492703633</v>
      </c>
      <c r="AE234" s="8">
        <v>739487.60492703633</v>
      </c>
      <c r="AF234" s="8">
        <f>VALUE(SUBSTITUTE(LEFT(Z234, FIND(" ", Z234) - 1), ",", ""))</f>
        <v>614724</v>
      </c>
      <c r="AG234" s="15">
        <f ca="1">(AF234/YEARFRAC(A234,TODAY())/P234)</f>
        <v>11206.684491978609</v>
      </c>
      <c r="AI234" s="8">
        <f>VALUE(SUBSTITUTE(LEFT(X234, FIND(" ", X234) - 1), ",", ""))</f>
        <v>625724</v>
      </c>
      <c r="AK234" s="20" t="str">
        <f>IF(AI234&gt;AC234, "YES","")</f>
        <v>YES</v>
      </c>
    </row>
    <row r="235" spans="1:37" x14ac:dyDescent="0.25">
      <c r="A235" s="5">
        <v>44701</v>
      </c>
      <c r="B235" s="20" t="s">
        <v>35</v>
      </c>
      <c r="C235" s="20">
        <v>36</v>
      </c>
      <c r="D235" s="20" t="s">
        <v>43</v>
      </c>
      <c r="E235" s="20" t="s">
        <v>33</v>
      </c>
      <c r="F235" s="20" t="s">
        <v>37</v>
      </c>
      <c r="G235" s="20" t="s">
        <v>58</v>
      </c>
      <c r="H235" s="20">
        <v>35</v>
      </c>
      <c r="I235" s="20" t="s">
        <v>68</v>
      </c>
      <c r="J235" s="20" t="s">
        <v>33</v>
      </c>
      <c r="K235" s="20" t="s">
        <v>34</v>
      </c>
      <c r="L235" s="20" t="s">
        <v>38</v>
      </c>
      <c r="M235" s="20">
        <v>0.69</v>
      </c>
      <c r="N235" s="20">
        <v>516.1</v>
      </c>
      <c r="O235" s="20">
        <v>877.2</v>
      </c>
      <c r="P235" s="20">
        <v>76.900000000000006</v>
      </c>
      <c r="Q235" s="8">
        <v>3467247</v>
      </c>
      <c r="R235" s="8">
        <v>5000000</v>
      </c>
      <c r="S235" s="8">
        <v>-287525</v>
      </c>
      <c r="T235" s="20">
        <v>460</v>
      </c>
      <c r="U235" s="20">
        <v>666</v>
      </c>
      <c r="V235" s="20"/>
      <c r="W235" s="8">
        <v>252284</v>
      </c>
      <c r="X235" s="20" t="s">
        <v>182</v>
      </c>
      <c r="Y235" s="20" t="s">
        <v>183</v>
      </c>
      <c r="Z235" s="20" t="s">
        <v>184</v>
      </c>
      <c r="AA235" s="20" t="s">
        <v>42</v>
      </c>
      <c r="AB235" s="3"/>
      <c r="AC235" s="8">
        <v>304146.90684000001</v>
      </c>
      <c r="AD235" s="8">
        <v>462912.02915811108</v>
      </c>
      <c r="AE235" s="8">
        <v>748124.00532793975</v>
      </c>
      <c r="AF235" s="8">
        <f>VALUE(SUBSTITUTE(LEFT(Z235, FIND(" ", Z235) - 1), ",", ""))</f>
        <v>549837</v>
      </c>
      <c r="AG235" s="15">
        <f ca="1">(AF235/YEARFRAC(A235,TODAY())/P235)</f>
        <v>2012.5170936738409</v>
      </c>
      <c r="AI235" s="8">
        <f>VALUE(SUBSTITUTE(LEFT(X235, FIND(" ", X235) - 1), ",", ""))</f>
        <v>613444</v>
      </c>
      <c r="AK235" s="20" t="str">
        <f>IF(AI235&gt;AC235, "YES","")</f>
        <v>YES</v>
      </c>
    </row>
    <row r="236" spans="1:37" x14ac:dyDescent="0.25">
      <c r="A236" s="5">
        <v>45512</v>
      </c>
      <c r="B236" s="3" t="s">
        <v>58</v>
      </c>
      <c r="C236" s="3">
        <v>39</v>
      </c>
      <c r="D236" s="3" t="s">
        <v>36</v>
      </c>
      <c r="E236" s="3" t="s">
        <v>33</v>
      </c>
      <c r="F236" s="3" t="s">
        <v>37</v>
      </c>
      <c r="G236" s="3" t="s">
        <v>35</v>
      </c>
      <c r="H236" s="3">
        <v>40</v>
      </c>
      <c r="I236" s="3" t="s">
        <v>82</v>
      </c>
      <c r="J236" s="3" t="s">
        <v>33</v>
      </c>
      <c r="K236" s="3" t="s">
        <v>34</v>
      </c>
      <c r="L236" s="3" t="s">
        <v>38</v>
      </c>
      <c r="M236" s="3">
        <v>5.12</v>
      </c>
      <c r="N236" s="3">
        <v>119.3</v>
      </c>
      <c r="O236" s="3">
        <v>68.3</v>
      </c>
      <c r="P236" s="3">
        <v>138.9</v>
      </c>
      <c r="Q236" s="8">
        <v>15000000</v>
      </c>
      <c r="R236" s="8">
        <v>2928682</v>
      </c>
      <c r="S236" s="8">
        <v>-1990913</v>
      </c>
      <c r="T236" s="3">
        <v>17</v>
      </c>
      <c r="U236" s="3">
        <v>658</v>
      </c>
      <c r="V236" s="3"/>
      <c r="W236" s="8">
        <v>-1621132</v>
      </c>
      <c r="X236" s="3" t="s">
        <v>477</v>
      </c>
      <c r="Y236" s="3" t="s">
        <v>478</v>
      </c>
      <c r="Z236" s="3" t="s">
        <v>479</v>
      </c>
      <c r="AA236" s="3" t="s">
        <v>480</v>
      </c>
      <c r="AB236" s="3"/>
      <c r="AC236" s="8">
        <v>102450</v>
      </c>
      <c r="AD236" s="8">
        <v>755725.13232580421</v>
      </c>
      <c r="AE236" s="8">
        <v>755725.13232580421</v>
      </c>
      <c r="AF236" s="8">
        <f>VALUE(SUBSTITUTE(LEFT(Z236, FIND(" ", Z236) - 1), ",", ""))</f>
        <v>752827</v>
      </c>
      <c r="AG236" s="15">
        <f ca="1">(AF236/YEARFRAC(A236,TODAY())/P236)</f>
        <v>4056.4895847833213</v>
      </c>
      <c r="AI236" s="8">
        <f>VALUE(SUBSTITUTE(LEFT(X236, FIND(" ", X236) - 1), ",", ""))</f>
        <v>768435</v>
      </c>
      <c r="AK236" s="20" t="str">
        <f>IF(AI236&gt;AC236, "YES","")</f>
        <v>YES</v>
      </c>
    </row>
    <row r="237" spans="1:37" x14ac:dyDescent="0.25">
      <c r="A237" s="5">
        <v>44980</v>
      </c>
      <c r="B237" s="3" t="s">
        <v>58</v>
      </c>
      <c r="C237" s="3">
        <v>36</v>
      </c>
      <c r="D237" s="3" t="s">
        <v>43</v>
      </c>
      <c r="E237" s="3" t="s">
        <v>78</v>
      </c>
      <c r="F237" s="3" t="s">
        <v>34</v>
      </c>
      <c r="G237" s="3" t="s">
        <v>35</v>
      </c>
      <c r="H237" s="3">
        <v>38</v>
      </c>
      <c r="I237" s="3" t="s">
        <v>36</v>
      </c>
      <c r="J237" s="3" t="s">
        <v>33</v>
      </c>
      <c r="K237" s="3" t="s">
        <v>37</v>
      </c>
      <c r="L237" s="3" t="s">
        <v>38</v>
      </c>
      <c r="M237" s="3">
        <v>0.56999999999999995</v>
      </c>
      <c r="N237" s="3">
        <v>197</v>
      </c>
      <c r="O237" s="3">
        <v>34.1</v>
      </c>
      <c r="P237" s="3">
        <v>154.69999999999999</v>
      </c>
      <c r="Q237" s="8">
        <v>15000000</v>
      </c>
      <c r="R237" s="8">
        <v>26115303</v>
      </c>
      <c r="S237" s="8">
        <v>-3944822</v>
      </c>
      <c r="T237" s="3">
        <v>422</v>
      </c>
      <c r="U237" s="3">
        <v>129</v>
      </c>
      <c r="V237" s="3"/>
      <c r="W237" s="8">
        <v>-3021066</v>
      </c>
      <c r="X237" s="3" t="s">
        <v>265</v>
      </c>
      <c r="Y237" s="3" t="s">
        <v>266</v>
      </c>
      <c r="Z237" s="3" t="s">
        <v>267</v>
      </c>
      <c r="AA237" s="3" t="s">
        <v>268</v>
      </c>
      <c r="AB237" s="3"/>
      <c r="AC237" s="8">
        <v>51150.000000000007</v>
      </c>
      <c r="AD237" s="8">
        <v>1744813.889881725</v>
      </c>
      <c r="AE237" s="8">
        <v>759509.17516896431</v>
      </c>
      <c r="AF237" s="8">
        <f>VALUE(SUBSTITUTE(LEFT(Z237, FIND(" ", Z237) - 1), ",", ""))</f>
        <v>929458</v>
      </c>
      <c r="AG237" s="15">
        <f ca="1">(AF237/YEARFRAC(A237,TODAY())/P237)</f>
        <v>2150.02730867542</v>
      </c>
      <c r="AI237" s="8">
        <f>VALUE(SUBSTITUTE(LEFT(X237, FIND(" ", X237) - 1), ",", ""))</f>
        <v>1087818</v>
      </c>
      <c r="AK237" s="20" t="str">
        <f>IF(AI237&gt;AC237, "YES","")</f>
        <v>YES</v>
      </c>
    </row>
    <row r="238" spans="1:37" x14ac:dyDescent="0.25">
      <c r="A238" s="5">
        <v>45561</v>
      </c>
      <c r="B238" s="3" t="s">
        <v>31</v>
      </c>
      <c r="C238" s="3">
        <v>40</v>
      </c>
      <c r="D238" s="3" t="s">
        <v>43</v>
      </c>
      <c r="E238" s="3" t="s">
        <v>33</v>
      </c>
      <c r="F238" s="3" t="s">
        <v>37</v>
      </c>
      <c r="G238" s="3" t="s">
        <v>58</v>
      </c>
      <c r="H238" s="3">
        <v>40</v>
      </c>
      <c r="I238" s="3" t="s">
        <v>43</v>
      </c>
      <c r="J238" s="3" t="s">
        <v>33</v>
      </c>
      <c r="K238" s="3" t="s">
        <v>34</v>
      </c>
      <c r="L238" s="3" t="s">
        <v>38</v>
      </c>
      <c r="M238" s="3">
        <v>5</v>
      </c>
      <c r="N238" s="3">
        <v>26.2</v>
      </c>
      <c r="O238" s="3">
        <v>17.8</v>
      </c>
      <c r="P238" s="3">
        <v>26.8</v>
      </c>
      <c r="Q238" s="8">
        <v>70000000</v>
      </c>
      <c r="R238" s="8">
        <v>14013358</v>
      </c>
      <c r="S238" s="8">
        <v>-539068</v>
      </c>
      <c r="T238" s="3">
        <v>37</v>
      </c>
      <c r="U238" s="3">
        <v>314</v>
      </c>
      <c r="V238" s="3"/>
      <c r="W238" s="8">
        <v>-442926</v>
      </c>
      <c r="X238" s="3" t="s">
        <v>875</v>
      </c>
      <c r="Y238" s="3" t="s">
        <v>876</v>
      </c>
      <c r="Z238" s="3" t="s">
        <v>877</v>
      </c>
      <c r="AA238" s="3" t="s">
        <v>878</v>
      </c>
      <c r="AB238" s="3"/>
      <c r="AC238" s="8">
        <v>124600</v>
      </c>
      <c r="AD238" s="8">
        <v>675508.5512815878</v>
      </c>
      <c r="AE238" s="8">
        <v>773371.04906125297</v>
      </c>
      <c r="AF238" s="8">
        <f>VALUE(SUBSTITUTE(LEFT(Z238, FIND(" ", Z238) - 1), ",", ""))</f>
        <v>434382</v>
      </c>
      <c r="AG238" s="15">
        <f ca="1">(AF238/YEARFRAC(A238,TODAY())/P238)</f>
        <v>13475.70921374651</v>
      </c>
      <c r="AI238" s="8">
        <f>VALUE(SUBSTITUTE(LEFT(X238, FIND(" ", X238) - 1), ",", ""))</f>
        <v>434382</v>
      </c>
      <c r="AK238" s="20" t="str">
        <f>IF(AI238&gt;AC238, "YES","")</f>
        <v>YES</v>
      </c>
    </row>
    <row r="239" spans="1:37" x14ac:dyDescent="0.25">
      <c r="A239" s="5">
        <v>44397</v>
      </c>
      <c r="B239" s="3" t="s">
        <v>35</v>
      </c>
      <c r="C239" s="3">
        <v>34</v>
      </c>
      <c r="D239" s="3" t="s">
        <v>36</v>
      </c>
      <c r="E239" s="3" t="s">
        <v>33</v>
      </c>
      <c r="F239" s="3" t="s">
        <v>37</v>
      </c>
      <c r="G239" s="3" t="s">
        <v>44</v>
      </c>
      <c r="H239" s="3">
        <v>34</v>
      </c>
      <c r="I239" s="3" t="s">
        <v>45</v>
      </c>
      <c r="J239" s="3" t="s">
        <v>33</v>
      </c>
      <c r="K239" s="3" t="s">
        <v>34</v>
      </c>
      <c r="L239" s="3" t="s">
        <v>38</v>
      </c>
      <c r="M239" s="3">
        <v>0.21</v>
      </c>
      <c r="N239" s="3">
        <v>465.5</v>
      </c>
      <c r="O239" s="3">
        <v>312.60000000000002</v>
      </c>
      <c r="P239" s="3">
        <v>199.4</v>
      </c>
      <c r="Q239" s="8">
        <v>4253832</v>
      </c>
      <c r="R239" s="8">
        <v>20000000</v>
      </c>
      <c r="S239" s="8">
        <v>-578561</v>
      </c>
      <c r="T239" s="3">
        <v>-95</v>
      </c>
      <c r="U239" s="3">
        <v>68</v>
      </c>
      <c r="V239" s="3"/>
      <c r="W239" s="8">
        <v>-578561</v>
      </c>
      <c r="X239" s="3" t="s">
        <v>54</v>
      </c>
      <c r="Y239" s="3" t="s">
        <v>55</v>
      </c>
      <c r="Z239" s="3" t="s">
        <v>56</v>
      </c>
      <c r="AA239" s="3" t="s">
        <v>42</v>
      </c>
      <c r="AB239" s="3"/>
      <c r="AC239" s="8">
        <v>132974.78831999999</v>
      </c>
      <c r="AD239" s="8">
        <v>779542.79549897334</v>
      </c>
      <c r="AE239" s="8">
        <v>779542.79549897334</v>
      </c>
      <c r="AF239" s="8">
        <f>VALUE(SUBSTITUTE(LEFT(Z239, FIND(" ", Z239) - 1), ",", ""))</f>
        <v>1020315</v>
      </c>
      <c r="AG239" s="15">
        <f ca="1">(AF239/YEARFRAC(A239,TODAY())/P239)</f>
        <v>1166.6201898920319</v>
      </c>
      <c r="AI239" s="8">
        <f>VALUE(SUBSTITUTE(LEFT(X239, FIND(" ", X239) - 1), ",", ""))</f>
        <v>1048126</v>
      </c>
      <c r="AK239" s="20" t="str">
        <f>IF(AI239&gt;AC239, "YES","")</f>
        <v>YES</v>
      </c>
    </row>
    <row r="240" spans="1:37" x14ac:dyDescent="0.25">
      <c r="A240" s="17">
        <v>45757</v>
      </c>
      <c r="B240" s="12" t="s">
        <v>31</v>
      </c>
      <c r="C240" s="12">
        <v>41</v>
      </c>
      <c r="D240" s="12" t="s">
        <v>43</v>
      </c>
      <c r="E240" s="12" t="s">
        <v>33</v>
      </c>
      <c r="F240" s="12" t="s">
        <v>37</v>
      </c>
      <c r="G240" s="12" t="s">
        <v>31</v>
      </c>
      <c r="H240" s="12">
        <v>43</v>
      </c>
      <c r="I240" s="12" t="s">
        <v>142</v>
      </c>
      <c r="J240" s="12" t="s">
        <v>33</v>
      </c>
      <c r="K240" s="12" t="s">
        <v>34</v>
      </c>
      <c r="L240" s="12" t="s">
        <v>38</v>
      </c>
      <c r="M240" s="12">
        <v>1.67</v>
      </c>
      <c r="N240" s="12">
        <v>4.3</v>
      </c>
      <c r="O240" s="12">
        <v>22.4</v>
      </c>
      <c r="P240" s="12">
        <v>142.5</v>
      </c>
      <c r="Q240" s="16">
        <v>41802729</v>
      </c>
      <c r="R240" s="16">
        <v>25000000</v>
      </c>
      <c r="S240" s="16">
        <v>-517594</v>
      </c>
      <c r="T240" s="12">
        <v>55</v>
      </c>
      <c r="U240" s="12">
        <v>94</v>
      </c>
      <c r="V240" s="12"/>
      <c r="W240" s="16">
        <v>-447524</v>
      </c>
      <c r="X240" s="12" t="s">
        <v>1083</v>
      </c>
      <c r="Y240" s="12" t="s">
        <v>1084</v>
      </c>
      <c r="Z240" s="12" t="s">
        <v>1085</v>
      </c>
      <c r="AA240" s="12" t="s">
        <v>1086</v>
      </c>
      <c r="AB240" s="3"/>
      <c r="AC240" s="8">
        <v>93638.112959999999</v>
      </c>
      <c r="AD240" s="8">
        <v>253633.7773442849</v>
      </c>
      <c r="AE240" s="8">
        <v>781373.98394302255</v>
      </c>
      <c r="AF240" s="8">
        <f>VALUE(SUBSTITUTE(LEFT(Z240, FIND(" ", Z240) - 1), ",", ""))</f>
        <v>142391</v>
      </c>
      <c r="AG240" s="15">
        <f ca="1">(AF240/YEARFRAC(A240,TODAY())/P240)</f>
        <v>1505.1239815018721</v>
      </c>
      <c r="AI240" s="8">
        <f>VALUE(SUBSTITUTE(LEFT(X240, FIND(" ", X240) - 1), ",", ""))</f>
        <v>208381</v>
      </c>
      <c r="AK240" s="20" t="str">
        <f>IF(AI240&gt;AC240, "YES","")</f>
        <v>YES</v>
      </c>
    </row>
    <row r="241" spans="1:37" x14ac:dyDescent="0.25">
      <c r="A241" s="17">
        <v>45726</v>
      </c>
      <c r="B241" s="12" t="s">
        <v>31</v>
      </c>
      <c r="C241" s="12">
        <v>43</v>
      </c>
      <c r="D241" s="12" t="s">
        <v>142</v>
      </c>
      <c r="E241" s="12" t="s">
        <v>33</v>
      </c>
      <c r="F241" s="12" t="s">
        <v>34</v>
      </c>
      <c r="G241" s="12" t="s">
        <v>35</v>
      </c>
      <c r="H241" s="12">
        <v>40</v>
      </c>
      <c r="I241" s="12" t="s">
        <v>43</v>
      </c>
      <c r="J241" s="12" t="s">
        <v>33</v>
      </c>
      <c r="K241" s="12" t="s">
        <v>37</v>
      </c>
      <c r="L241" s="12" t="s">
        <v>38</v>
      </c>
      <c r="M241" s="12">
        <v>3.59</v>
      </c>
      <c r="N241" s="12">
        <v>2.8</v>
      </c>
      <c r="O241" s="12">
        <v>56.1</v>
      </c>
      <c r="P241" s="12">
        <v>294.2</v>
      </c>
      <c r="Q241" s="16">
        <v>25000000</v>
      </c>
      <c r="R241" s="16">
        <v>7000000</v>
      </c>
      <c r="S241" s="16">
        <v>-433466</v>
      </c>
      <c r="T241" s="12">
        <v>72</v>
      </c>
      <c r="U241" s="12">
        <v>229</v>
      </c>
      <c r="V241" s="12"/>
      <c r="W241" s="16">
        <v>-153973</v>
      </c>
      <c r="X241" s="12" t="s">
        <v>1114</v>
      </c>
      <c r="Y241" s="12" t="s">
        <v>1115</v>
      </c>
      <c r="Z241" s="12" t="s">
        <v>1116</v>
      </c>
      <c r="AA241" s="12"/>
      <c r="AB241" s="3"/>
      <c r="AC241" s="8">
        <v>140250</v>
      </c>
      <c r="AD241" s="8">
        <v>254361.9438740589</v>
      </c>
      <c r="AE241" s="8">
        <v>783416.76975117635</v>
      </c>
      <c r="AF241" s="8">
        <f>VALUE(SUBSTITUTE(LEFT(Z241, FIND(" ", Z241) - 1), ",", ""))</f>
        <v>116086</v>
      </c>
      <c r="AG241" s="15">
        <f ca="1">(AF241/YEARFRAC(A241,TODAY())/P241)</f>
        <v>528.06501911806708</v>
      </c>
      <c r="AI241" s="8">
        <f>VALUE(SUBSTITUTE(LEFT(X241, FIND(" ", X241) - 1), ",", ""))</f>
        <v>417819</v>
      </c>
      <c r="AK241" s="20" t="str">
        <f>IF(AI241&gt;AC241, "YES","")</f>
        <v>YES</v>
      </c>
    </row>
    <row r="242" spans="1:37" x14ac:dyDescent="0.25">
      <c r="A242" s="17">
        <v>45757</v>
      </c>
      <c r="B242" s="12" t="s">
        <v>44</v>
      </c>
      <c r="C242" s="12">
        <v>42</v>
      </c>
      <c r="D242" s="12" t="s">
        <v>45</v>
      </c>
      <c r="E242" s="12" t="s">
        <v>33</v>
      </c>
      <c r="F242" s="12" t="s">
        <v>34</v>
      </c>
      <c r="G242" s="12" t="s">
        <v>44</v>
      </c>
      <c r="H242" s="12">
        <v>42</v>
      </c>
      <c r="I242" s="12" t="s">
        <v>122</v>
      </c>
      <c r="J242" s="12" t="s">
        <v>33</v>
      </c>
      <c r="K242" s="12" t="s">
        <v>37</v>
      </c>
      <c r="L242" s="12" t="s">
        <v>38</v>
      </c>
      <c r="M242" s="12">
        <v>0.72</v>
      </c>
      <c r="N242" s="12">
        <v>83.8</v>
      </c>
      <c r="O242" s="12">
        <v>70.5</v>
      </c>
      <c r="P242" s="12">
        <v>131</v>
      </c>
      <c r="Q242" s="16">
        <v>20000000</v>
      </c>
      <c r="R242" s="16">
        <v>27622084</v>
      </c>
      <c r="S242" s="16">
        <v>-1095048</v>
      </c>
      <c r="T242" s="12">
        <v>138</v>
      </c>
      <c r="U242" s="12">
        <v>39</v>
      </c>
      <c r="V242" s="12"/>
      <c r="W242" s="16">
        <v>-432473</v>
      </c>
      <c r="X242" s="12" t="s">
        <v>1087</v>
      </c>
      <c r="Y242" s="12" t="s">
        <v>1088</v>
      </c>
      <c r="Z242" s="12" t="s">
        <v>1089</v>
      </c>
      <c r="AA242" s="12" t="s">
        <v>1090</v>
      </c>
      <c r="AB242" s="3"/>
      <c r="AC242" s="8">
        <v>141000</v>
      </c>
      <c r="AD242" s="8">
        <v>790115.5131170433</v>
      </c>
      <c r="AE242" s="8">
        <v>790115.5131170433</v>
      </c>
      <c r="AF242" s="8">
        <f>VALUE(SUBSTITUTE(LEFT(Z242, FIND(" ", Z242) - 1), ",", ""))</f>
        <v>439083</v>
      </c>
      <c r="AG242" s="15">
        <f ca="1">(AF242/YEARFRAC(A242,TODAY())/P242)</f>
        <v>5048.7042064582065</v>
      </c>
      <c r="AI242" s="8">
        <f>VALUE(SUBSTITUTE(LEFT(X242, FIND(" ", X242) - 1), ",", ""))</f>
        <v>446565</v>
      </c>
      <c r="AK242" s="20" t="str">
        <f>IF(AI242&gt;AC242, "YES","")</f>
        <v>YES</v>
      </c>
    </row>
    <row r="243" spans="1:37" x14ac:dyDescent="0.25">
      <c r="A243" s="5">
        <v>45398</v>
      </c>
      <c r="B243" s="3" t="s">
        <v>44</v>
      </c>
      <c r="C243" s="3">
        <v>40</v>
      </c>
      <c r="D243" s="3" t="s">
        <v>45</v>
      </c>
      <c r="E243" s="3" t="s">
        <v>33</v>
      </c>
      <c r="F243" s="3" t="s">
        <v>37</v>
      </c>
      <c r="G243" s="3" t="s">
        <v>35</v>
      </c>
      <c r="H243" s="3">
        <v>40</v>
      </c>
      <c r="I243" s="3" t="s">
        <v>82</v>
      </c>
      <c r="J243" s="3" t="s">
        <v>33</v>
      </c>
      <c r="K243" s="3" t="s">
        <v>34</v>
      </c>
      <c r="L243" s="3" t="s">
        <v>38</v>
      </c>
      <c r="M243" s="3">
        <v>3.49</v>
      </c>
      <c r="N243" s="3">
        <v>109</v>
      </c>
      <c r="O243" s="3">
        <v>36.700000000000003</v>
      </c>
      <c r="P243" s="3">
        <v>227.1</v>
      </c>
      <c r="Q243" s="8">
        <v>17473784</v>
      </c>
      <c r="R243" s="8">
        <v>5000000</v>
      </c>
      <c r="S243" s="8">
        <v>-447832</v>
      </c>
      <c r="T243" s="3">
        <v>115</v>
      </c>
      <c r="U243" s="3">
        <v>741</v>
      </c>
      <c r="V243" s="3"/>
      <c r="W243" s="8">
        <v>149772</v>
      </c>
      <c r="X243" s="3" t="s">
        <v>405</v>
      </c>
      <c r="Y243" s="3" t="s">
        <v>406</v>
      </c>
      <c r="Z243" s="3" t="s">
        <v>407</v>
      </c>
      <c r="AA243" s="3" t="s">
        <v>408</v>
      </c>
      <c r="AB243" s="3"/>
      <c r="AC243" s="8">
        <v>64128.787279999997</v>
      </c>
      <c r="AD243" s="8">
        <v>793329.18865434628</v>
      </c>
      <c r="AE243" s="8">
        <v>793329.18865434628</v>
      </c>
      <c r="AF243" s="8">
        <f>VALUE(SUBSTITUTE(LEFT(Z243, FIND(" ", Z243) - 1), ",", ""))</f>
        <v>663312</v>
      </c>
      <c r="AG243" s="15">
        <f ca="1">(AF243/YEARFRAC(A243,TODAY())/P243)</f>
        <v>1773.1624567554984</v>
      </c>
      <c r="AI243" s="8">
        <f>VALUE(SUBSTITUTE(LEFT(X243, FIND(" ", X243) - 1), ",", ""))</f>
        <v>682750</v>
      </c>
      <c r="AK243" s="20" t="str">
        <f>IF(AI243&gt;AC243, "YES","")</f>
        <v>YES</v>
      </c>
    </row>
    <row r="244" spans="1:37" x14ac:dyDescent="0.25">
      <c r="A244" s="5">
        <v>44701</v>
      </c>
      <c r="B244" s="3" t="s">
        <v>44</v>
      </c>
      <c r="C244" s="3">
        <v>36</v>
      </c>
      <c r="D244" s="3" t="s">
        <v>43</v>
      </c>
      <c r="E244" s="3" t="s">
        <v>33</v>
      </c>
      <c r="F244" s="3" t="s">
        <v>37</v>
      </c>
      <c r="G244" s="3" t="s">
        <v>58</v>
      </c>
      <c r="H244" s="3">
        <v>35</v>
      </c>
      <c r="I244" s="3" t="s">
        <v>68</v>
      </c>
      <c r="J244" s="3" t="s">
        <v>33</v>
      </c>
      <c r="K244" s="3" t="s">
        <v>34</v>
      </c>
      <c r="L244" s="3" t="s">
        <v>38</v>
      </c>
      <c r="M244" s="3">
        <v>2.81</v>
      </c>
      <c r="N244" s="3">
        <v>147.80000000000001</v>
      </c>
      <c r="O244" s="3">
        <v>254.4</v>
      </c>
      <c r="P244" s="3">
        <v>81.3</v>
      </c>
      <c r="Q244" s="8">
        <v>14074036</v>
      </c>
      <c r="R244" s="8">
        <v>5000000</v>
      </c>
      <c r="S244" s="8">
        <v>-272232</v>
      </c>
      <c r="T244" s="3">
        <v>92</v>
      </c>
      <c r="U244" s="3">
        <v>666</v>
      </c>
      <c r="V244" s="3"/>
      <c r="W244" s="8">
        <v>222377</v>
      </c>
      <c r="X244" s="3" t="s">
        <v>173</v>
      </c>
      <c r="Y244" s="3" t="s">
        <v>174</v>
      </c>
      <c r="Z244" s="3" t="s">
        <v>175</v>
      </c>
      <c r="AA244" s="3" t="s">
        <v>42</v>
      </c>
      <c r="AB244" s="3"/>
      <c r="AC244" s="8">
        <v>358043.47584000003</v>
      </c>
      <c r="AD244" s="8">
        <v>600545.1204380563</v>
      </c>
      <c r="AE244" s="8">
        <v>795909.51498981332</v>
      </c>
      <c r="AF244" s="8">
        <f>VALUE(SUBSTITUTE(LEFT(Z244, FIND(" ", Z244) - 1), ",", ""))</f>
        <v>654569</v>
      </c>
      <c r="AG244" s="15">
        <f ca="1">(AF244/YEARFRAC(A244,TODAY())/P244)</f>
        <v>2266.1927416772214</v>
      </c>
      <c r="AI244" s="8">
        <f>VALUE(SUBSTITUTE(LEFT(X244, FIND(" ", X244) - 1), ",", ""))</f>
        <v>700099</v>
      </c>
      <c r="AK244" s="20" t="str">
        <f>IF(AI244&gt;AC244, "YES","")</f>
        <v>YES</v>
      </c>
    </row>
    <row r="245" spans="1:37" x14ac:dyDescent="0.25">
      <c r="A245" s="5">
        <v>44545</v>
      </c>
      <c r="B245" s="20" t="s">
        <v>35</v>
      </c>
      <c r="C245" s="20">
        <v>36</v>
      </c>
      <c r="D245" s="20" t="s">
        <v>36</v>
      </c>
      <c r="E245" s="20" t="s">
        <v>33</v>
      </c>
      <c r="F245" s="20" t="s">
        <v>34</v>
      </c>
      <c r="G245" s="20" t="s">
        <v>35</v>
      </c>
      <c r="H245" s="20">
        <v>34</v>
      </c>
      <c r="I245" s="20" t="s">
        <v>36</v>
      </c>
      <c r="J245" s="20" t="s">
        <v>33</v>
      </c>
      <c r="K245" s="20" t="s">
        <v>37</v>
      </c>
      <c r="L245" s="20" t="s">
        <v>38</v>
      </c>
      <c r="M245" s="20">
        <v>0.5</v>
      </c>
      <c r="N245" s="20">
        <v>251.1</v>
      </c>
      <c r="O245" s="20">
        <v>118.7</v>
      </c>
      <c r="P245" s="20">
        <v>213.1</v>
      </c>
      <c r="Q245" s="8">
        <v>7477703</v>
      </c>
      <c r="R245" s="8">
        <v>15000000</v>
      </c>
      <c r="S245" s="8">
        <v>-1136179</v>
      </c>
      <c r="T245" s="20">
        <v>63</v>
      </c>
      <c r="U245" s="20">
        <v>-93</v>
      </c>
      <c r="V245" s="20"/>
      <c r="W245" s="8">
        <v>-1127070</v>
      </c>
      <c r="X245" s="20" t="s">
        <v>86</v>
      </c>
      <c r="Y245" s="20" t="s">
        <v>87</v>
      </c>
      <c r="Z245" s="20" t="s">
        <v>88</v>
      </c>
      <c r="AA245" s="20" t="s">
        <v>89</v>
      </c>
      <c r="AB245" s="3"/>
      <c r="AC245" s="8">
        <v>88760.334610000005</v>
      </c>
      <c r="AD245" s="8">
        <v>796069.94501273101</v>
      </c>
      <c r="AE245" s="8">
        <v>796069.94501273101</v>
      </c>
      <c r="AF245" s="8">
        <f>VALUE(SUBSTITUTE(LEFT(Z245, FIND(" ", Z245) - 1), ",", ""))</f>
        <v>339357</v>
      </c>
      <c r="AG245" s="15">
        <f ca="1">(AF245/YEARFRAC(A245,TODAY())/P245)</f>
        <v>399.7851991620019</v>
      </c>
      <c r="AI245" s="8">
        <f>VALUE(SUBSTITUTE(LEFT(X245, FIND(" ", X245) - 1), ",", ""))</f>
        <v>791357</v>
      </c>
      <c r="AK245" s="20" t="str">
        <f>IF(AI245&gt;AC245, "YES","")</f>
        <v>YES</v>
      </c>
    </row>
    <row r="246" spans="1:37" x14ac:dyDescent="0.25">
      <c r="A246" s="5">
        <v>45637</v>
      </c>
      <c r="B246" s="3" t="s">
        <v>35</v>
      </c>
      <c r="C246" s="3">
        <v>42</v>
      </c>
      <c r="D246" s="3" t="s">
        <v>43</v>
      </c>
      <c r="E246" s="3" t="s">
        <v>33</v>
      </c>
      <c r="F246" s="3" t="s">
        <v>34</v>
      </c>
      <c r="G246" s="3" t="s">
        <v>44</v>
      </c>
      <c r="H246" s="3">
        <v>41</v>
      </c>
      <c r="I246" s="3" t="s">
        <v>43</v>
      </c>
      <c r="J246" s="3" t="s">
        <v>33</v>
      </c>
      <c r="K246" s="3" t="s">
        <v>37</v>
      </c>
      <c r="L246" s="3" t="s">
        <v>38</v>
      </c>
      <c r="M246" s="3">
        <v>0.18</v>
      </c>
      <c r="N246" s="3">
        <v>29</v>
      </c>
      <c r="O246" s="3">
        <v>16</v>
      </c>
      <c r="P246" s="3">
        <v>20.100000000000001</v>
      </c>
      <c r="Q246" s="8">
        <v>38337779</v>
      </c>
      <c r="R246" s="8">
        <v>215000000</v>
      </c>
      <c r="S246" s="8">
        <v>-1135393</v>
      </c>
      <c r="T246" s="3">
        <v>290</v>
      </c>
      <c r="U246" s="3">
        <v>46</v>
      </c>
      <c r="V246" s="3"/>
      <c r="W246" s="8">
        <v>463960</v>
      </c>
      <c r="X246" s="3" t="s">
        <v>937</v>
      </c>
      <c r="Y246" s="3" t="s">
        <v>938</v>
      </c>
      <c r="Z246" s="3" t="s">
        <v>939</v>
      </c>
      <c r="AA246" s="3" t="s">
        <v>940</v>
      </c>
      <c r="AB246" s="3"/>
      <c r="AC246" s="8">
        <v>61340.446400000001</v>
      </c>
      <c r="AD246" s="8">
        <v>1112435.0704585901</v>
      </c>
      <c r="AE246" s="8">
        <v>801153.74170509866</v>
      </c>
      <c r="AF246" s="8">
        <f>VALUE(SUBSTITUTE(LEFT(Z246, FIND(" ", Z246) - 1), ",", ""))</f>
        <v>310565</v>
      </c>
      <c r="AG246" s="15">
        <f ca="1">(AF246/YEARFRAC(A246,TODAY())/P246)</f>
        <v>15537.313432835819</v>
      </c>
      <c r="AI246" s="8">
        <f>VALUE(SUBSTITUTE(LEFT(X246, FIND(" ", X246) - 1), ",", ""))</f>
        <v>640062</v>
      </c>
      <c r="AK246" s="20" t="str">
        <f>IF(AI246&gt;AC246, "YES","")</f>
        <v>YES</v>
      </c>
    </row>
    <row r="247" spans="1:37" x14ac:dyDescent="0.25">
      <c r="A247" s="5">
        <v>45511</v>
      </c>
      <c r="B247" s="3" t="s">
        <v>58</v>
      </c>
      <c r="C247" s="3">
        <v>41</v>
      </c>
      <c r="D247" s="3" t="s">
        <v>43</v>
      </c>
      <c r="E247" s="3" t="s">
        <v>33</v>
      </c>
      <c r="F247" s="3" t="s">
        <v>34</v>
      </c>
      <c r="G247" s="3" t="s">
        <v>35</v>
      </c>
      <c r="H247" s="3">
        <v>40</v>
      </c>
      <c r="I247" s="3" t="s">
        <v>36</v>
      </c>
      <c r="J247" s="3" t="s">
        <v>33</v>
      </c>
      <c r="K247" s="3" t="s">
        <v>37</v>
      </c>
      <c r="L247" s="3" t="s">
        <v>38</v>
      </c>
      <c r="M247" s="3">
        <v>0.62</v>
      </c>
      <c r="N247" s="3">
        <v>226.7</v>
      </c>
      <c r="O247" s="3">
        <v>32</v>
      </c>
      <c r="P247" s="3">
        <v>143.80000000000001</v>
      </c>
      <c r="Q247" s="8">
        <v>21531363</v>
      </c>
      <c r="R247" s="8">
        <v>35000000</v>
      </c>
      <c r="S247" s="8">
        <v>-4928244</v>
      </c>
      <c r="T247" s="3">
        <v>361</v>
      </c>
      <c r="U247" s="3">
        <v>84</v>
      </c>
      <c r="V247" s="3"/>
      <c r="W247" s="8">
        <v>-4601732</v>
      </c>
      <c r="X247" s="3" t="s">
        <v>831</v>
      </c>
      <c r="Y247" s="3" t="s">
        <v>832</v>
      </c>
      <c r="Z247" s="3" t="s">
        <v>833</v>
      </c>
      <c r="AA247" s="3" t="s">
        <v>834</v>
      </c>
      <c r="AB247" s="3"/>
      <c r="AC247" s="8">
        <v>68900.361600000004</v>
      </c>
      <c r="AD247" s="8">
        <v>2111754.6832657079</v>
      </c>
      <c r="AE247" s="8">
        <v>810801.01871380862</v>
      </c>
      <c r="AF247" s="8">
        <f>VALUE(SUBSTITUTE(LEFT(Z247, FIND(" ", Z247) - 1), ",", ""))</f>
        <v>836180</v>
      </c>
      <c r="AG247" s="15">
        <f ca="1">(AF247/YEARFRAC(A247,TODAY())/P247)</f>
        <v>4343.0652300625006</v>
      </c>
      <c r="AI247" s="8">
        <f>VALUE(SUBSTITUTE(LEFT(X247, FIND(" ", X247) - 1), ",", ""))</f>
        <v>921102</v>
      </c>
      <c r="AK247" s="20" t="str">
        <f>IF(AI247&gt;AC247, "YES","")</f>
        <v>YES</v>
      </c>
    </row>
    <row r="248" spans="1:37" x14ac:dyDescent="0.25">
      <c r="A248" s="5">
        <v>45153</v>
      </c>
      <c r="B248" s="3" t="s">
        <v>35</v>
      </c>
      <c r="C248" s="3">
        <v>38</v>
      </c>
      <c r="D248" s="3" t="s">
        <v>49</v>
      </c>
      <c r="E248" s="3" t="s">
        <v>33</v>
      </c>
      <c r="F248" s="3" t="s">
        <v>37</v>
      </c>
      <c r="G248" s="3" t="s">
        <v>35</v>
      </c>
      <c r="H248" s="3">
        <v>38</v>
      </c>
      <c r="I248" s="3" t="s">
        <v>82</v>
      </c>
      <c r="J248" s="3" t="s">
        <v>33</v>
      </c>
      <c r="K248" s="3" t="s">
        <v>34</v>
      </c>
      <c r="L248" s="3" t="s">
        <v>38</v>
      </c>
      <c r="M248" s="3">
        <v>1.49</v>
      </c>
      <c r="N248" s="3">
        <v>286.39999999999998</v>
      </c>
      <c r="O248" s="3">
        <v>218</v>
      </c>
      <c r="P248" s="3">
        <v>103.1</v>
      </c>
      <c r="Q248" s="8">
        <v>7456567</v>
      </c>
      <c r="R248" s="8">
        <v>5000000</v>
      </c>
      <c r="S248" s="8">
        <v>-1315140</v>
      </c>
      <c r="T248" s="3">
        <v>310</v>
      </c>
      <c r="U248" s="3">
        <v>843</v>
      </c>
      <c r="V248" s="3"/>
      <c r="W248" s="8">
        <v>-599066</v>
      </c>
      <c r="X248" s="3" t="s">
        <v>347</v>
      </c>
      <c r="Y248" s="3" t="s">
        <v>348</v>
      </c>
      <c r="Z248" s="3" t="s">
        <v>349</v>
      </c>
      <c r="AA248" s="3" t="s">
        <v>42</v>
      </c>
      <c r="AB248" s="3"/>
      <c r="AC248" s="8">
        <v>162553.1606</v>
      </c>
      <c r="AD248" s="8">
        <v>827570.48521286808</v>
      </c>
      <c r="AE248" s="8">
        <v>827570.48521286808</v>
      </c>
      <c r="AF248" s="8">
        <f>VALUE(SUBSTITUTE(LEFT(Z248, FIND(" ", Z248) - 1), ",", ""))</f>
        <v>939186</v>
      </c>
      <c r="AG248" s="15">
        <f ca="1">(AF248/YEARFRAC(A248,TODAY())/P248)</f>
        <v>3932.1438290686556</v>
      </c>
      <c r="AI248" s="8">
        <f>VALUE(SUBSTITUTE(LEFT(X248, FIND(" ", X248) - 1), ",", ""))</f>
        <v>945784</v>
      </c>
      <c r="AK248" s="20" t="str">
        <f>IF(AI248&gt;AC248, "YES","")</f>
        <v>YES</v>
      </c>
    </row>
    <row r="249" spans="1:37" x14ac:dyDescent="0.25">
      <c r="A249" s="5">
        <v>44701</v>
      </c>
      <c r="B249" s="20" t="s">
        <v>44</v>
      </c>
      <c r="C249" s="20">
        <v>36</v>
      </c>
      <c r="D249" s="20" t="s">
        <v>43</v>
      </c>
      <c r="E249" s="20" t="s">
        <v>33</v>
      </c>
      <c r="F249" s="20" t="s">
        <v>37</v>
      </c>
      <c r="G249" s="20" t="s">
        <v>58</v>
      </c>
      <c r="H249" s="20">
        <v>37</v>
      </c>
      <c r="I249" s="20" t="s">
        <v>68</v>
      </c>
      <c r="J249" s="20" t="s">
        <v>33</v>
      </c>
      <c r="K249" s="20" t="s">
        <v>34</v>
      </c>
      <c r="L249" s="20" t="s">
        <v>38</v>
      </c>
      <c r="M249" s="20">
        <v>8.34</v>
      </c>
      <c r="N249" s="20">
        <v>13.8</v>
      </c>
      <c r="O249" s="20">
        <v>49.6</v>
      </c>
      <c r="P249" s="20">
        <v>77.099999999999994</v>
      </c>
      <c r="Q249" s="8">
        <v>41684485</v>
      </c>
      <c r="R249" s="8">
        <v>5000000</v>
      </c>
      <c r="S249" s="8">
        <v>-800991</v>
      </c>
      <c r="T249" s="20">
        <v>92</v>
      </c>
      <c r="U249" s="20">
        <v>879</v>
      </c>
      <c r="V249" s="20"/>
      <c r="W249" s="8">
        <v>663942</v>
      </c>
      <c r="X249" s="20" t="s">
        <v>179</v>
      </c>
      <c r="Y249" s="20" t="s">
        <v>180</v>
      </c>
      <c r="Z249" s="20" t="s">
        <v>181</v>
      </c>
      <c r="AA249" s="20" t="s">
        <v>42</v>
      </c>
      <c r="AB249" s="3"/>
      <c r="AC249" s="8">
        <v>206755.04560000001</v>
      </c>
      <c r="AD249" s="8">
        <v>256822.96002737881</v>
      </c>
      <c r="AE249" s="8">
        <v>835453.29564871721</v>
      </c>
      <c r="AF249" s="8">
        <f>VALUE(SUBSTITUTE(LEFT(Z249, FIND(" ", Z249) - 1), ",", ""))</f>
        <v>372731</v>
      </c>
      <c r="AG249" s="15">
        <f ca="1">(AF249/YEARFRAC(A249,TODAY())/P249)</f>
        <v>1360.7335497394306</v>
      </c>
      <c r="AI249" s="8">
        <f>VALUE(SUBSTITUTE(LEFT(X249, FIND(" ", X249) - 1), ",", ""))</f>
        <v>712580</v>
      </c>
      <c r="AK249" s="20" t="str">
        <f>IF(AI249&gt;AC249, "YES","")</f>
        <v>YES</v>
      </c>
    </row>
    <row r="250" spans="1:37" x14ac:dyDescent="0.25">
      <c r="A250" s="5">
        <v>44397</v>
      </c>
      <c r="B250" s="20" t="s">
        <v>31</v>
      </c>
      <c r="C250" s="20">
        <v>33</v>
      </c>
      <c r="D250" s="20" t="s">
        <v>32</v>
      </c>
      <c r="E250" s="20" t="s">
        <v>33</v>
      </c>
      <c r="F250" s="20" t="s">
        <v>34</v>
      </c>
      <c r="G250" s="20" t="s">
        <v>35</v>
      </c>
      <c r="H250" s="20">
        <v>34</v>
      </c>
      <c r="I250" s="20" t="s">
        <v>36</v>
      </c>
      <c r="J250" s="20" t="s">
        <v>33</v>
      </c>
      <c r="K250" s="20" t="s">
        <v>37</v>
      </c>
      <c r="L250" s="20" t="s">
        <v>38</v>
      </c>
      <c r="M250" s="20">
        <v>1.65</v>
      </c>
      <c r="N250" s="20">
        <v>232.3</v>
      </c>
      <c r="O250" s="20">
        <v>105.3</v>
      </c>
      <c r="P250" s="20">
        <v>137.30000000000001</v>
      </c>
      <c r="Q250" s="8">
        <v>10000000</v>
      </c>
      <c r="R250" s="8">
        <v>6068411</v>
      </c>
      <c r="S250" s="8">
        <v>-1344106</v>
      </c>
      <c r="T250" s="20">
        <v>174</v>
      </c>
      <c r="U250" s="20">
        <v>-95</v>
      </c>
      <c r="V250" s="20"/>
      <c r="W250" s="8">
        <v>-1344106</v>
      </c>
      <c r="X250" s="20" t="s">
        <v>62</v>
      </c>
      <c r="Y250" s="20" t="s">
        <v>63</v>
      </c>
      <c r="Z250" s="20" t="s">
        <v>64</v>
      </c>
      <c r="AA250" s="20" t="s">
        <v>42</v>
      </c>
      <c r="AB250" s="3"/>
      <c r="AC250" s="8">
        <v>105300</v>
      </c>
      <c r="AD250" s="8">
        <v>849754.81413552351</v>
      </c>
      <c r="AE250" s="8">
        <v>849754.81413552351</v>
      </c>
      <c r="AF250" s="8">
        <f>VALUE(SUBSTITUTE(LEFT(Z250, FIND(" ", Z250) - 1), ",", ""))</f>
        <v>924520</v>
      </c>
      <c r="AG250" s="15">
        <f ca="1">(AF250/YEARFRAC(A250,TODAY())/P250)</f>
        <v>1535.2041797684187</v>
      </c>
      <c r="AI250" s="8">
        <f>VALUE(SUBSTITUTE(LEFT(X250, FIND(" ", X250) - 1), ",", ""))</f>
        <v>932226</v>
      </c>
      <c r="AK250" s="20" t="str">
        <f>IF(AI250&gt;AC250, "YES","")</f>
        <v>YES</v>
      </c>
    </row>
    <row r="251" spans="1:37" x14ac:dyDescent="0.25">
      <c r="A251" s="5">
        <v>44397</v>
      </c>
      <c r="B251" s="3" t="s">
        <v>35</v>
      </c>
      <c r="C251" s="3">
        <v>34</v>
      </c>
      <c r="D251" s="3" t="s">
        <v>36</v>
      </c>
      <c r="E251" s="3" t="s">
        <v>33</v>
      </c>
      <c r="F251" s="3" t="s">
        <v>37</v>
      </c>
      <c r="G251" s="3" t="s">
        <v>44</v>
      </c>
      <c r="H251" s="3">
        <v>34</v>
      </c>
      <c r="I251" s="3" t="s">
        <v>50</v>
      </c>
      <c r="J251" s="3" t="s">
        <v>33</v>
      </c>
      <c r="K251" s="3" t="s">
        <v>34</v>
      </c>
      <c r="L251" s="3" t="s">
        <v>38</v>
      </c>
      <c r="M251" s="3">
        <v>0.5</v>
      </c>
      <c r="N251" s="3">
        <v>430.5</v>
      </c>
      <c r="O251" s="3">
        <v>511.4</v>
      </c>
      <c r="P251" s="3">
        <v>98</v>
      </c>
      <c r="Q251" s="8">
        <v>4995330</v>
      </c>
      <c r="R251" s="8">
        <v>10000000</v>
      </c>
      <c r="S251" s="8">
        <v>-1160030</v>
      </c>
      <c r="T251" s="3">
        <v>-95</v>
      </c>
      <c r="U251" s="3">
        <v>146</v>
      </c>
      <c r="V251" s="3"/>
      <c r="W251" s="8">
        <v>-1160030</v>
      </c>
      <c r="X251" s="3" t="s">
        <v>75</v>
      </c>
      <c r="Y251" s="3" t="s">
        <v>76</v>
      </c>
      <c r="Z251" s="3" t="s">
        <v>77</v>
      </c>
      <c r="AA251" s="3" t="s">
        <v>42</v>
      </c>
      <c r="AB251" s="3"/>
      <c r="AC251" s="8">
        <v>255461.17619999999</v>
      </c>
      <c r="AD251" s="8">
        <v>854859.39737166325</v>
      </c>
      <c r="AE251" s="8">
        <v>854859.39737166325</v>
      </c>
      <c r="AF251" s="8">
        <f>VALUE(SUBSTITUTE(LEFT(Z251, FIND(" ", Z251) - 1), ",", ""))</f>
        <v>1135191</v>
      </c>
      <c r="AG251" s="15">
        <f ca="1">(AF251/YEARFRAC(A251,TODAY())/P251)</f>
        <v>2640.9685799588992</v>
      </c>
      <c r="AI251" s="8">
        <f>VALUE(SUBSTITUTE(LEFT(X251, FIND(" ", X251) - 1), ",", ""))</f>
        <v>1166131</v>
      </c>
      <c r="AK251" s="20" t="str">
        <f>IF(AI251&gt;AC251, "YES","")</f>
        <v>YES</v>
      </c>
    </row>
    <row r="252" spans="1:37" x14ac:dyDescent="0.25">
      <c r="A252" s="5">
        <v>44545</v>
      </c>
      <c r="B252" s="3" t="s">
        <v>58</v>
      </c>
      <c r="C252" s="3">
        <v>35</v>
      </c>
      <c r="D252" s="3" t="s">
        <v>68</v>
      </c>
      <c r="E252" s="3" t="s">
        <v>33</v>
      </c>
      <c r="F252" s="3" t="s">
        <v>34</v>
      </c>
      <c r="G252" s="3" t="s">
        <v>44</v>
      </c>
      <c r="H252" s="3">
        <v>34</v>
      </c>
      <c r="I252" s="3" t="s">
        <v>45</v>
      </c>
      <c r="J252" s="3" t="s">
        <v>33</v>
      </c>
      <c r="K252" s="3" t="s">
        <v>37</v>
      </c>
      <c r="L252" s="3" t="s">
        <v>38</v>
      </c>
      <c r="M252" s="3">
        <v>0.77</v>
      </c>
      <c r="N252" s="3">
        <v>432.2</v>
      </c>
      <c r="O252" s="3">
        <v>591.29999999999995</v>
      </c>
      <c r="P252" s="3">
        <v>58.9</v>
      </c>
      <c r="Q252" s="8">
        <v>5000000</v>
      </c>
      <c r="R252" s="8">
        <v>6528638</v>
      </c>
      <c r="S252" s="8">
        <v>200172</v>
      </c>
      <c r="T252" s="3">
        <v>308</v>
      </c>
      <c r="U252" s="3">
        <v>-95</v>
      </c>
      <c r="V252" s="3"/>
      <c r="W252" s="8">
        <v>200172</v>
      </c>
      <c r="X252" s="3" t="s">
        <v>111</v>
      </c>
      <c r="Y252" s="3" t="s">
        <v>112</v>
      </c>
      <c r="Z252" s="3" t="s">
        <v>113</v>
      </c>
      <c r="AA252" s="3" t="s">
        <v>114</v>
      </c>
      <c r="AB252" s="3"/>
      <c r="AC252" s="8">
        <v>295650</v>
      </c>
      <c r="AD252" s="8">
        <v>867045.4248487337</v>
      </c>
      <c r="AE252" s="8">
        <v>867045.4248487337</v>
      </c>
      <c r="AF252" s="8">
        <f>VALUE(SUBSTITUTE(LEFT(Z252, FIND(" ", Z252) - 1), ",", ""))</f>
        <v>778901</v>
      </c>
      <c r="AG252" s="15">
        <f ca="1">(AF252/YEARFRAC(A252,TODAY())/P252)</f>
        <v>3319.8641765704583</v>
      </c>
      <c r="AI252" s="8">
        <f>VALUE(SUBSTITUTE(LEFT(X252, FIND(" ", X252) - 1), ",", ""))</f>
        <v>946548</v>
      </c>
      <c r="AK252" s="20" t="str">
        <f>IF(AI252&gt;AC252, "YES","")</f>
        <v>YES</v>
      </c>
    </row>
    <row r="253" spans="1:37" x14ac:dyDescent="0.25">
      <c r="A253" s="5">
        <v>45688</v>
      </c>
      <c r="B253" s="3" t="s">
        <v>58</v>
      </c>
      <c r="C253" s="3">
        <v>42</v>
      </c>
      <c r="D253" s="3" t="s">
        <v>43</v>
      </c>
      <c r="E253" s="3" t="s">
        <v>33</v>
      </c>
      <c r="F253" s="3" t="s">
        <v>34</v>
      </c>
      <c r="G253" s="3" t="s">
        <v>35</v>
      </c>
      <c r="H253" s="3">
        <v>40</v>
      </c>
      <c r="I253" s="3" t="s">
        <v>43</v>
      </c>
      <c r="J253" s="3" t="s">
        <v>33</v>
      </c>
      <c r="K253" s="3" t="s">
        <v>37</v>
      </c>
      <c r="L253" s="3" t="s">
        <v>118</v>
      </c>
      <c r="M253" s="3">
        <v>0.8</v>
      </c>
      <c r="N253" s="3">
        <v>-12.6</v>
      </c>
      <c r="O253" s="3">
        <v>100</v>
      </c>
      <c r="P253" s="3">
        <v>79.5</v>
      </c>
      <c r="Q253" s="8">
        <v>19942618</v>
      </c>
      <c r="R253" s="8">
        <v>25000000</v>
      </c>
      <c r="S253" s="8">
        <v>-924378</v>
      </c>
      <c r="T253" s="3">
        <v>274</v>
      </c>
      <c r="U253" s="3">
        <v>229</v>
      </c>
      <c r="V253" s="3"/>
      <c r="W253" s="8">
        <v>-189466</v>
      </c>
      <c r="X253" s="3" t="s">
        <v>957</v>
      </c>
      <c r="Y253" s="3" t="s">
        <v>958</v>
      </c>
      <c r="Z253" s="3" t="s">
        <v>959</v>
      </c>
      <c r="AA253" s="3"/>
      <c r="AB253" s="3"/>
      <c r="AC253" s="14">
        <v>199426.18</v>
      </c>
      <c r="AD253" s="22">
        <v>170987.81889993139</v>
      </c>
      <c r="AE253" s="23">
        <v>876939.2859313807</v>
      </c>
      <c r="AF253" s="21">
        <f>VALUE(SUBSTITUTE(LEFT(Z253, FIND(" ", Z253) - 1), ",", ""))</f>
        <v>-183515</v>
      </c>
      <c r="AG253" s="13">
        <f ca="1">(AF253/YEARFRAC(A253,TODAY())/P253)</f>
        <v>-2689.3570250961716</v>
      </c>
      <c r="AH253" s="19" t="s">
        <v>1238</v>
      </c>
      <c r="AI253" s="14">
        <f>VALUE(SUBSTITUTE(LEFT(X253, FIND(" ", X253) - 1), ",", ""))</f>
        <v>385667</v>
      </c>
      <c r="AK253" s="20" t="str">
        <f>IF(AI253&gt;AC253, "YES","")</f>
        <v>YES</v>
      </c>
    </row>
    <row r="254" spans="1:37" x14ac:dyDescent="0.25">
      <c r="A254" s="5">
        <v>44636</v>
      </c>
      <c r="B254" s="3" t="s">
        <v>44</v>
      </c>
      <c r="C254" s="3">
        <v>34</v>
      </c>
      <c r="D254" s="3" t="s">
        <v>122</v>
      </c>
      <c r="E254" s="3" t="s">
        <v>33</v>
      </c>
      <c r="F254" s="3" t="s">
        <v>37</v>
      </c>
      <c r="G254" s="3" t="s">
        <v>31</v>
      </c>
      <c r="H254" s="3">
        <v>35</v>
      </c>
      <c r="I254" s="3" t="s">
        <v>32</v>
      </c>
      <c r="J254" s="3" t="s">
        <v>33</v>
      </c>
      <c r="K254" s="3" t="s">
        <v>34</v>
      </c>
      <c r="L254" s="3" t="s">
        <v>38</v>
      </c>
      <c r="M254" s="3">
        <v>0.28000000000000003</v>
      </c>
      <c r="N254" s="3">
        <v>895.8</v>
      </c>
      <c r="O254" s="3">
        <v>325.7</v>
      </c>
      <c r="P254" s="3">
        <v>205.3</v>
      </c>
      <c r="Q254" s="8">
        <v>2845104</v>
      </c>
      <c r="R254" s="8">
        <v>10000000</v>
      </c>
      <c r="S254" s="8">
        <v>-433321</v>
      </c>
      <c r="T254" s="3">
        <v>-96</v>
      </c>
      <c r="U254" s="3">
        <v>215</v>
      </c>
      <c r="V254" s="3"/>
      <c r="W254" s="8">
        <v>-433321</v>
      </c>
      <c r="X254" s="3" t="s">
        <v>138</v>
      </c>
      <c r="Y254" s="3" t="s">
        <v>139</v>
      </c>
      <c r="Z254" s="3" t="s">
        <v>140</v>
      </c>
      <c r="AA254" s="3" t="s">
        <v>141</v>
      </c>
      <c r="AB254" s="3"/>
      <c r="AC254" s="8">
        <v>92665.037280000004</v>
      </c>
      <c r="AD254" s="8">
        <v>912198.14592744689</v>
      </c>
      <c r="AE254" s="8">
        <v>912198.14592744689</v>
      </c>
      <c r="AF254" s="8">
        <f>VALUE(SUBSTITUTE(LEFT(Z254, FIND(" ", Z254) - 1), ",", ""))</f>
        <v>908519</v>
      </c>
      <c r="AG254" s="15">
        <f ca="1">(AF254/YEARFRAC(A254,TODAY())/P254)</f>
        <v>1186.2372374082349</v>
      </c>
      <c r="AI254" s="8">
        <f>VALUE(SUBSTITUTE(LEFT(X254, FIND(" ", X254) - 1), ",", ""))</f>
        <v>925522</v>
      </c>
      <c r="AK254" s="20" t="str">
        <f>IF(AI254&gt;AC254, "YES","")</f>
        <v>YES</v>
      </c>
    </row>
    <row r="255" spans="1:37" x14ac:dyDescent="0.25">
      <c r="A255" s="5">
        <v>45744</v>
      </c>
      <c r="B255" s="3" t="s">
        <v>31</v>
      </c>
      <c r="C255" s="3">
        <v>41</v>
      </c>
      <c r="D255" s="3" t="s">
        <v>43</v>
      </c>
      <c r="E255" s="3" t="s">
        <v>33</v>
      </c>
      <c r="F255" s="3" t="s">
        <v>37</v>
      </c>
      <c r="G255" s="3" t="s">
        <v>58</v>
      </c>
      <c r="H255" s="3">
        <v>43</v>
      </c>
      <c r="I255" s="3" t="s">
        <v>68</v>
      </c>
      <c r="J255" s="3" t="s">
        <v>33</v>
      </c>
      <c r="K255" s="3" t="s">
        <v>34</v>
      </c>
      <c r="L255" s="3" t="s">
        <v>38</v>
      </c>
      <c r="M255" s="3">
        <v>10.8</v>
      </c>
      <c r="N255" s="3">
        <v>0.9</v>
      </c>
      <c r="O255" s="3">
        <v>18.399999999999999</v>
      </c>
      <c r="P255" s="3">
        <v>421</v>
      </c>
      <c r="Q255" s="8">
        <v>54008484</v>
      </c>
      <c r="R255" s="8">
        <v>5000000</v>
      </c>
      <c r="S255" s="8">
        <v>-873899</v>
      </c>
      <c r="T255" s="3">
        <v>44</v>
      </c>
      <c r="U255" s="3">
        <v>475</v>
      </c>
      <c r="V255" s="3"/>
      <c r="W255" s="8">
        <v>-304146</v>
      </c>
      <c r="X255" s="3" t="s">
        <v>991</v>
      </c>
      <c r="Y255" s="3" t="s">
        <v>992</v>
      </c>
      <c r="Z255" s="3" t="s">
        <v>993</v>
      </c>
      <c r="AA255" s="3" t="s">
        <v>994</v>
      </c>
      <c r="AB255" s="3"/>
      <c r="AC255" s="8">
        <v>99375.610559999986</v>
      </c>
      <c r="AD255" s="8">
        <v>236824.9685289526</v>
      </c>
      <c r="AE255" s="8">
        <v>921604.07541738614</v>
      </c>
      <c r="AF255" s="8">
        <f>VALUE(SUBSTITUTE(LEFT(Z255, FIND(" ", Z255) - 1), ",", ""))</f>
        <v>219437</v>
      </c>
      <c r="AG255" s="15">
        <f ca="1">(AF255/YEARFRAC(A255,TODAY())/P255)</f>
        <v>747.57804884973177</v>
      </c>
      <c r="AI255" s="8">
        <f>VALUE(SUBSTITUTE(LEFT(X255, FIND(" ", X255) - 1), ",", ""))</f>
        <v>256087</v>
      </c>
      <c r="AK255" s="20" t="str">
        <f>IF(AI255&gt;AC255, "YES","")</f>
        <v>YES</v>
      </c>
    </row>
    <row r="256" spans="1:37" x14ac:dyDescent="0.25">
      <c r="A256" s="5">
        <v>44545</v>
      </c>
      <c r="B256" s="3" t="s">
        <v>35</v>
      </c>
      <c r="C256" s="3">
        <v>36</v>
      </c>
      <c r="D256" s="3" t="s">
        <v>49</v>
      </c>
      <c r="E256" s="3" t="s">
        <v>33</v>
      </c>
      <c r="F256" s="3" t="s">
        <v>34</v>
      </c>
      <c r="G256" s="3" t="s">
        <v>35</v>
      </c>
      <c r="H256" s="3">
        <v>34</v>
      </c>
      <c r="I256" s="3" t="s">
        <v>36</v>
      </c>
      <c r="J256" s="3" t="s">
        <v>33</v>
      </c>
      <c r="K256" s="3" t="s">
        <v>37</v>
      </c>
      <c r="L256" s="3" t="s">
        <v>38</v>
      </c>
      <c r="M256" s="3">
        <v>0.27</v>
      </c>
      <c r="N256" s="3">
        <v>521.6</v>
      </c>
      <c r="O256" s="3">
        <v>358.4</v>
      </c>
      <c r="P256" s="3">
        <v>151.9</v>
      </c>
      <c r="Q256" s="8">
        <v>4102666</v>
      </c>
      <c r="R256" s="8">
        <v>15000000</v>
      </c>
      <c r="S256" s="8">
        <v>-2052573</v>
      </c>
      <c r="T256" s="3">
        <v>178</v>
      </c>
      <c r="U256" s="3">
        <v>-93</v>
      </c>
      <c r="V256" s="3"/>
      <c r="W256" s="8">
        <v>-2052573</v>
      </c>
      <c r="X256" s="3" t="s">
        <v>96</v>
      </c>
      <c r="Y256" s="3" t="s">
        <v>97</v>
      </c>
      <c r="Z256" s="3" t="s">
        <v>98</v>
      </c>
      <c r="AA256" s="3" t="s">
        <v>99</v>
      </c>
      <c r="AB256" s="3"/>
      <c r="AC256" s="8">
        <v>147039.54944</v>
      </c>
      <c r="AD256" s="8">
        <v>925996.63172840513</v>
      </c>
      <c r="AE256" s="8">
        <v>925996.63172840513</v>
      </c>
      <c r="AF256" s="8">
        <f>VALUE(SUBSTITUTE(LEFT(Z256, FIND(" ", Z256) - 1), ",", ""))</f>
        <v>765532</v>
      </c>
      <c r="AG256" s="15">
        <f ca="1">(AF256/YEARFRAC(A256,TODAY())/P256)</f>
        <v>1265.1992474679168</v>
      </c>
      <c r="AI256" s="8">
        <f>VALUE(SUBSTITUTE(LEFT(X256, FIND(" ", X256) - 1), ",", ""))</f>
        <v>1169492</v>
      </c>
      <c r="AK256" s="20" t="str">
        <f>IF(AI256&gt;AC256, "YES","")</f>
        <v>YES</v>
      </c>
    </row>
    <row r="257" spans="1:37" x14ac:dyDescent="0.25">
      <c r="A257" s="5">
        <v>45401</v>
      </c>
      <c r="B257" s="3" t="s">
        <v>44</v>
      </c>
      <c r="C257" s="3">
        <v>40</v>
      </c>
      <c r="D257" s="3" t="s">
        <v>122</v>
      </c>
      <c r="E257" s="3" t="s">
        <v>33</v>
      </c>
      <c r="F257" s="3" t="s">
        <v>37</v>
      </c>
      <c r="G257" s="3" t="s">
        <v>57</v>
      </c>
      <c r="H257" s="3">
        <v>41</v>
      </c>
      <c r="I257" s="3" t="s">
        <v>43</v>
      </c>
      <c r="J257" s="3" t="s">
        <v>33</v>
      </c>
      <c r="K257" s="3" t="s">
        <v>34</v>
      </c>
      <c r="L257" s="3" t="s">
        <v>38</v>
      </c>
      <c r="M257" s="3">
        <v>0.26</v>
      </c>
      <c r="N257" s="3">
        <v>449.4</v>
      </c>
      <c r="O257" s="3">
        <v>74.3</v>
      </c>
      <c r="P257" s="3">
        <v>79.2</v>
      </c>
      <c r="Q257" s="8">
        <v>13021994</v>
      </c>
      <c r="R257" s="8">
        <v>50000000</v>
      </c>
      <c r="S257" s="8">
        <v>-946857</v>
      </c>
      <c r="T257" s="3">
        <v>27</v>
      </c>
      <c r="U257" s="3">
        <v>121</v>
      </c>
      <c r="V257" s="3"/>
      <c r="W257" s="8">
        <v>-894665</v>
      </c>
      <c r="X257" s="3" t="s">
        <v>684</v>
      </c>
      <c r="Y257" s="3" t="s">
        <v>685</v>
      </c>
      <c r="Z257" s="3" t="s">
        <v>686</v>
      </c>
      <c r="AA257" s="3" t="s">
        <v>687</v>
      </c>
      <c r="AB257" s="3"/>
      <c r="AC257" s="8">
        <v>96753.415420000005</v>
      </c>
      <c r="AD257" s="8">
        <v>2963061.166973853</v>
      </c>
      <c r="AE257" s="8">
        <v>935067.13471601368</v>
      </c>
      <c r="AF257" s="8">
        <f>VALUE(SUBSTITUTE(LEFT(Z257, FIND(" ", Z257) - 1), ",", ""))</f>
        <v>1807068</v>
      </c>
      <c r="AG257" s="15">
        <f ca="1">(AF257/YEARFRAC(A257,TODAY())/P257)</f>
        <v>13921.941448382126</v>
      </c>
      <c r="AI257" s="8">
        <f>VALUE(SUBSTITUTE(LEFT(X257, FIND(" ", X257) - 1), ",", ""))</f>
        <v>1860539</v>
      </c>
      <c r="AK257" s="20" t="str">
        <f>IF(AI257&gt;AC257, "YES","")</f>
        <v>YES</v>
      </c>
    </row>
    <row r="258" spans="1:37" x14ac:dyDescent="0.25">
      <c r="A258" s="5">
        <v>44917</v>
      </c>
      <c r="B258" s="3" t="s">
        <v>44</v>
      </c>
      <c r="C258" s="3">
        <v>36</v>
      </c>
      <c r="D258" s="3" t="s">
        <v>45</v>
      </c>
      <c r="E258" s="3" t="s">
        <v>33</v>
      </c>
      <c r="F258" s="3" t="s">
        <v>37</v>
      </c>
      <c r="G258" s="3" t="s">
        <v>58</v>
      </c>
      <c r="H258" s="3">
        <v>37</v>
      </c>
      <c r="I258" s="3" t="s">
        <v>68</v>
      </c>
      <c r="J258" s="3" t="s">
        <v>33</v>
      </c>
      <c r="K258" s="3" t="s">
        <v>34</v>
      </c>
      <c r="L258" s="3" t="s">
        <v>38</v>
      </c>
      <c r="M258" s="3">
        <v>0.48</v>
      </c>
      <c r="N258" s="3">
        <v>1021.2</v>
      </c>
      <c r="O258" s="3">
        <v>362.1</v>
      </c>
      <c r="P258" s="3">
        <v>208.4</v>
      </c>
      <c r="Q258" s="8">
        <v>2418646</v>
      </c>
      <c r="R258" s="8">
        <v>5000000</v>
      </c>
      <c r="S258" s="8">
        <v>-47168</v>
      </c>
      <c r="T258" s="3">
        <v>172</v>
      </c>
      <c r="U258" s="3">
        <v>562</v>
      </c>
      <c r="V258" s="3"/>
      <c r="W258" s="8">
        <v>96986</v>
      </c>
      <c r="X258" s="3" t="s">
        <v>244</v>
      </c>
      <c r="Y258" s="3" t="s">
        <v>245</v>
      </c>
      <c r="Z258" s="3" t="s">
        <v>246</v>
      </c>
      <c r="AA258" s="3" t="s">
        <v>247</v>
      </c>
      <c r="AB258" s="3"/>
      <c r="AC258" s="8">
        <v>87579.171659999993</v>
      </c>
      <c r="AD258" s="8">
        <v>956286.27613744012</v>
      </c>
      <c r="AE258" s="8">
        <v>956286.27613744012</v>
      </c>
      <c r="AF258" s="8">
        <f>VALUE(SUBSTITUTE(LEFT(Z258, FIND(" ", Z258) - 1), ",", ""))</f>
        <v>887200</v>
      </c>
      <c r="AG258" s="15">
        <f ca="1">(AF258/YEARFRAC(A258,TODAY())/P258)</f>
        <v>1436.3553615982528</v>
      </c>
      <c r="AI258" s="8">
        <f>VALUE(SUBSTITUTE(LEFT(X258, FIND(" ", X258) - 1), ",", ""))</f>
        <v>896928</v>
      </c>
      <c r="AK258" s="20" t="str">
        <f>IF(AI258&gt;AC258, "YES","")</f>
        <v>YES</v>
      </c>
    </row>
    <row r="259" spans="1:37" x14ac:dyDescent="0.25">
      <c r="A259" s="5">
        <v>44917</v>
      </c>
      <c r="B259" s="3" t="s">
        <v>35</v>
      </c>
      <c r="C259" s="3">
        <v>36</v>
      </c>
      <c r="D259" s="3" t="s">
        <v>49</v>
      </c>
      <c r="E259" s="3" t="s">
        <v>33</v>
      </c>
      <c r="F259" s="3" t="s">
        <v>37</v>
      </c>
      <c r="G259" s="3" t="s">
        <v>58</v>
      </c>
      <c r="H259" s="3">
        <v>37</v>
      </c>
      <c r="I259" s="3" t="s">
        <v>68</v>
      </c>
      <c r="J259" s="3" t="s">
        <v>33</v>
      </c>
      <c r="K259" s="3" t="s">
        <v>34</v>
      </c>
      <c r="L259" s="3" t="s">
        <v>38</v>
      </c>
      <c r="M259" s="3">
        <v>0.19</v>
      </c>
      <c r="N259" s="3">
        <v>2720.1</v>
      </c>
      <c r="O259" s="3">
        <v>957.4</v>
      </c>
      <c r="P259" s="3">
        <v>213.6</v>
      </c>
      <c r="Q259" s="8">
        <v>927114</v>
      </c>
      <c r="R259" s="8">
        <v>5000000</v>
      </c>
      <c r="S259" s="8">
        <v>-153264</v>
      </c>
      <c r="T259" s="3">
        <v>386</v>
      </c>
      <c r="U259" s="3">
        <v>562</v>
      </c>
      <c r="V259" s="3"/>
      <c r="W259" s="8">
        <v>-22576</v>
      </c>
      <c r="X259" s="3" t="s">
        <v>240</v>
      </c>
      <c r="Y259" s="3" t="s">
        <v>241</v>
      </c>
      <c r="Z259" s="3" t="s">
        <v>242</v>
      </c>
      <c r="AA259" s="3" t="s">
        <v>243</v>
      </c>
      <c r="AB259" s="3"/>
      <c r="AC259" s="8">
        <v>88761.894359999991</v>
      </c>
      <c r="AD259" s="8">
        <v>979510.88300177956</v>
      </c>
      <c r="AE259" s="8">
        <v>979510.88300177956</v>
      </c>
      <c r="AF259" s="8">
        <f>VALUE(SUBSTITUTE(LEFT(Z259, FIND(" ", Z259) - 1), ",", ""))</f>
        <v>937129</v>
      </c>
      <c r="AG259" s="15">
        <f ca="1">(AF259/YEARFRAC(A259,TODAY())/P259)</f>
        <v>1480.2538883565178</v>
      </c>
      <c r="AI259" s="8">
        <f>VALUE(SUBSTITUTE(LEFT(X259, FIND(" ", X259) - 1), ",", ""))</f>
        <v>944662</v>
      </c>
      <c r="AK259" s="20" t="str">
        <f>IF(AI259&gt;AC259, "YES","")</f>
        <v>YES</v>
      </c>
    </row>
    <row r="260" spans="1:37" x14ac:dyDescent="0.25">
      <c r="A260" s="5">
        <v>44636</v>
      </c>
      <c r="B260" s="3" t="s">
        <v>44</v>
      </c>
      <c r="C260" s="3">
        <v>34</v>
      </c>
      <c r="D260" s="3" t="s">
        <v>43</v>
      </c>
      <c r="E260" s="3" t="s">
        <v>33</v>
      </c>
      <c r="F260" s="3" t="s">
        <v>37</v>
      </c>
      <c r="G260" s="3" t="s">
        <v>31</v>
      </c>
      <c r="H260" s="3">
        <v>37</v>
      </c>
      <c r="I260" s="3" t="s">
        <v>142</v>
      </c>
      <c r="J260" s="3" t="s">
        <v>33</v>
      </c>
      <c r="K260" s="3" t="s">
        <v>34</v>
      </c>
      <c r="L260" s="3" t="s">
        <v>38</v>
      </c>
      <c r="M260" s="3">
        <v>0.9</v>
      </c>
      <c r="N260" s="3">
        <v>58.3</v>
      </c>
      <c r="O260" s="3">
        <v>77.599999999999994</v>
      </c>
      <c r="P260" s="3">
        <v>176.1</v>
      </c>
      <c r="Q260" s="8">
        <v>22513840</v>
      </c>
      <c r="R260" s="8">
        <v>25000000</v>
      </c>
      <c r="S260" s="8">
        <v>-344897</v>
      </c>
      <c r="T260" s="3">
        <v>59</v>
      </c>
      <c r="U260" s="3">
        <v>101</v>
      </c>
      <c r="V260" s="3"/>
      <c r="W260" s="8">
        <v>94248</v>
      </c>
      <c r="X260" s="3" t="s">
        <v>143</v>
      </c>
      <c r="Y260" s="3" t="s">
        <v>144</v>
      </c>
      <c r="Z260" s="3" t="s">
        <v>145</v>
      </c>
      <c r="AA260" s="3" t="s">
        <v>42</v>
      </c>
      <c r="AB260" s="3"/>
      <c r="AC260" s="8">
        <v>174707.39840000001</v>
      </c>
      <c r="AD260" s="8">
        <v>702824.01916495571</v>
      </c>
      <c r="AE260" s="8">
        <v>989405.33659653075</v>
      </c>
      <c r="AF260" s="8">
        <f>VALUE(SUBSTITUTE(LEFT(Z260, FIND(" ", Z260) - 1), ",", ""))</f>
        <v>778678</v>
      </c>
      <c r="AG260" s="15">
        <f ca="1">(AF260/YEARFRAC(A260,TODAY())/P260)</f>
        <v>1185.2911367035331</v>
      </c>
      <c r="AI260" s="8">
        <f>VALUE(SUBSTITUTE(LEFT(X260, FIND(" ", X260) - 1), ",", ""))</f>
        <v>779154</v>
      </c>
      <c r="AK260" s="20" t="str">
        <f>IF(AI260&gt;AC260, "YES","")</f>
        <v>YES</v>
      </c>
    </row>
    <row r="261" spans="1:37" x14ac:dyDescent="0.25">
      <c r="A261" s="17">
        <v>45761</v>
      </c>
      <c r="B261" s="12" t="s">
        <v>31</v>
      </c>
      <c r="C261" s="12">
        <v>43</v>
      </c>
      <c r="D261" s="12" t="s">
        <v>32</v>
      </c>
      <c r="E261" s="12" t="s">
        <v>33</v>
      </c>
      <c r="F261" s="12" t="s">
        <v>34</v>
      </c>
      <c r="G261" s="12" t="s">
        <v>44</v>
      </c>
      <c r="H261" s="12">
        <v>42</v>
      </c>
      <c r="I261" s="12" t="s">
        <v>122</v>
      </c>
      <c r="J261" s="12" t="s">
        <v>33</v>
      </c>
      <c r="K261" s="12" t="s">
        <v>37</v>
      </c>
      <c r="L261" s="12" t="s">
        <v>38</v>
      </c>
      <c r="M261" s="12">
        <v>0.28999999999999998</v>
      </c>
      <c r="N261" s="12">
        <v>110.1</v>
      </c>
      <c r="O261" s="12">
        <v>52.7</v>
      </c>
      <c r="P261" s="12">
        <v>288.60000000000002</v>
      </c>
      <c r="Q261" s="16">
        <v>15000000</v>
      </c>
      <c r="R261" s="16">
        <v>51100000</v>
      </c>
      <c r="S261" s="16">
        <v>-2451950</v>
      </c>
      <c r="T261" s="12">
        <v>262</v>
      </c>
      <c r="U261" s="12">
        <v>35</v>
      </c>
      <c r="V261" s="12"/>
      <c r="W261" s="16">
        <v>-199283</v>
      </c>
      <c r="X261" s="12" t="s">
        <v>1144</v>
      </c>
      <c r="Y261" s="12" t="s">
        <v>1145</v>
      </c>
      <c r="Z261" s="12" t="s">
        <v>1146</v>
      </c>
      <c r="AA261" s="12" t="s">
        <v>1147</v>
      </c>
      <c r="AB261" s="3"/>
      <c r="AC261" s="8">
        <v>79050</v>
      </c>
      <c r="AD261" s="8">
        <v>1003177.6865160851</v>
      </c>
      <c r="AE261" s="8">
        <v>1003177.6865160851</v>
      </c>
      <c r="AF261" s="8">
        <f>VALUE(SUBSTITUTE(LEFT(Z261, FIND(" ", Z261) - 1), ",", ""))</f>
        <v>509952</v>
      </c>
      <c r="AG261" s="15">
        <f ca="1">(AF261/YEARFRAC(A261,TODAY())/P261)</f>
        <v>2706.8713230415356</v>
      </c>
      <c r="AI261" s="8">
        <f>VALUE(SUBSTITUTE(LEFT(X261, FIND(" ", X261) - 1), ",", ""))</f>
        <v>557116</v>
      </c>
      <c r="AK261" s="20" t="str">
        <f>IF(AI261&gt;AC261, "YES","")</f>
        <v>YES</v>
      </c>
    </row>
    <row r="262" spans="1:37" x14ac:dyDescent="0.25">
      <c r="A262" s="17">
        <v>45757</v>
      </c>
      <c r="B262" s="12" t="s">
        <v>31</v>
      </c>
      <c r="C262" s="12">
        <v>43</v>
      </c>
      <c r="D262" s="12" t="s">
        <v>32</v>
      </c>
      <c r="E262" s="12" t="s">
        <v>33</v>
      </c>
      <c r="F262" s="12" t="s">
        <v>34</v>
      </c>
      <c r="G262" s="12" t="s">
        <v>44</v>
      </c>
      <c r="H262" s="12">
        <v>42</v>
      </c>
      <c r="I262" s="12" t="s">
        <v>122</v>
      </c>
      <c r="J262" s="12" t="s">
        <v>33</v>
      </c>
      <c r="K262" s="12" t="s">
        <v>37</v>
      </c>
      <c r="L262" s="12" t="s">
        <v>38</v>
      </c>
      <c r="M262" s="12">
        <v>0.28999999999999998</v>
      </c>
      <c r="N262" s="12">
        <v>141.80000000000001</v>
      </c>
      <c r="O262" s="12">
        <v>83.3</v>
      </c>
      <c r="P262" s="12">
        <v>191.1</v>
      </c>
      <c r="Q262" s="16">
        <v>15000000</v>
      </c>
      <c r="R262" s="16">
        <v>51138954</v>
      </c>
      <c r="S262" s="16">
        <v>-2361278</v>
      </c>
      <c r="T262" s="12">
        <v>277</v>
      </c>
      <c r="U262" s="12">
        <v>39</v>
      </c>
      <c r="V262" s="12"/>
      <c r="W262" s="16">
        <v>-2159538</v>
      </c>
      <c r="X262" s="12" t="s">
        <v>1063</v>
      </c>
      <c r="Y262" s="12" t="s">
        <v>1064</v>
      </c>
      <c r="Z262" s="12" t="s">
        <v>1065</v>
      </c>
      <c r="AA262" s="12" t="s">
        <v>1066</v>
      </c>
      <c r="AB262" s="3"/>
      <c r="AC262" s="8">
        <v>124950</v>
      </c>
      <c r="AD262" s="8">
        <v>1014482.152418891</v>
      </c>
      <c r="AE262" s="8">
        <v>1014482.152418891</v>
      </c>
      <c r="AF262" s="8">
        <f>VALUE(SUBSTITUTE(LEFT(Z262, FIND(" ", Z262) - 1), ",", ""))</f>
        <v>496384</v>
      </c>
      <c r="AG262" s="15">
        <f ca="1">(AF262/YEARFRAC(A262,TODAY())/P262)</f>
        <v>3912.5660949928733</v>
      </c>
      <c r="AI262" s="8">
        <f>VALUE(SUBSTITUTE(LEFT(X262, FIND(" ", X262) - 1), ",", ""))</f>
        <v>497079</v>
      </c>
      <c r="AK262" s="20" t="str">
        <f>IF(AI262&gt;AC262, "YES","")</f>
        <v>YES</v>
      </c>
    </row>
    <row r="263" spans="1:37" x14ac:dyDescent="0.25">
      <c r="A263" s="5">
        <v>45754</v>
      </c>
      <c r="B263" s="3" t="s">
        <v>35</v>
      </c>
      <c r="C263" s="3">
        <v>42</v>
      </c>
      <c r="D263" s="3" t="s">
        <v>36</v>
      </c>
      <c r="E263" s="3" t="s">
        <v>33</v>
      </c>
      <c r="F263" s="3" t="s">
        <v>37</v>
      </c>
      <c r="G263" s="3" t="s">
        <v>35</v>
      </c>
      <c r="H263" s="3">
        <v>42</v>
      </c>
      <c r="I263" s="3" t="s">
        <v>82</v>
      </c>
      <c r="J263" s="3" t="s">
        <v>33</v>
      </c>
      <c r="K263" s="3" t="s">
        <v>34</v>
      </c>
      <c r="L263" s="3" t="s">
        <v>38</v>
      </c>
      <c r="M263" s="3">
        <v>2.85</v>
      </c>
      <c r="N263" s="3">
        <v>167.1</v>
      </c>
      <c r="O263" s="3">
        <v>151.6</v>
      </c>
      <c r="P263" s="3">
        <v>103.4</v>
      </c>
      <c r="Q263" s="8">
        <v>14259671</v>
      </c>
      <c r="R263" s="8">
        <v>5000000</v>
      </c>
      <c r="S263" s="8">
        <v>-3107091</v>
      </c>
      <c r="T263" s="3">
        <v>131</v>
      </c>
      <c r="U263" s="3">
        <v>809</v>
      </c>
      <c r="V263" s="3"/>
      <c r="W263" s="8">
        <v>-1373744</v>
      </c>
      <c r="X263" s="3" t="s">
        <v>583</v>
      </c>
      <c r="Y263" s="3" t="s">
        <v>584</v>
      </c>
      <c r="Z263" s="3" t="s">
        <v>585</v>
      </c>
      <c r="AA263" s="3" t="s">
        <v>586</v>
      </c>
      <c r="AB263" s="3"/>
      <c r="AC263" s="8">
        <v>216176.61236</v>
      </c>
      <c r="AD263" s="8">
        <v>1023971.79030308</v>
      </c>
      <c r="AE263" s="8">
        <v>1023971.79030308</v>
      </c>
      <c r="AF263" s="8">
        <f>VALUE(SUBSTITUTE(LEFT(Z263, FIND(" ", Z263) - 1), ",", ""))</f>
        <v>825323</v>
      </c>
      <c r="AG263" s="15">
        <f ca="1">(AF263/YEARFRAC(A263,TODAY())/P263)</f>
        <v>11873.822274086033</v>
      </c>
      <c r="AI263" s="8">
        <f>VALUE(SUBSTITUTE(LEFT(X263, FIND(" ", X263) - 1), ",", ""))</f>
        <v>836761</v>
      </c>
      <c r="AK263" s="20" t="str">
        <f>IF(AI263&gt;AC263, "YES","")</f>
        <v>YES</v>
      </c>
    </row>
    <row r="264" spans="1:37" x14ac:dyDescent="0.25">
      <c r="A264" s="5">
        <v>45496</v>
      </c>
      <c r="B264" s="3" t="s">
        <v>44</v>
      </c>
      <c r="C264" s="3">
        <v>39</v>
      </c>
      <c r="D264" s="3" t="s">
        <v>43</v>
      </c>
      <c r="E264" s="3" t="s">
        <v>33</v>
      </c>
      <c r="F264" s="3" t="s">
        <v>37</v>
      </c>
      <c r="G264" s="3" t="s">
        <v>35</v>
      </c>
      <c r="H264" s="3">
        <v>40</v>
      </c>
      <c r="I264" s="3" t="s">
        <v>43</v>
      </c>
      <c r="J264" s="3" t="s">
        <v>33</v>
      </c>
      <c r="K264" s="3" t="s">
        <v>34</v>
      </c>
      <c r="L264" s="3" t="s">
        <v>38</v>
      </c>
      <c r="M264" s="3">
        <v>4.8600000000000003</v>
      </c>
      <c r="N264" s="3">
        <v>20.399999999999999</v>
      </c>
      <c r="O264" s="3">
        <v>10.3</v>
      </c>
      <c r="P264" s="3">
        <v>23.3</v>
      </c>
      <c r="Q264" s="8">
        <v>140000000</v>
      </c>
      <c r="R264" s="8">
        <v>28808072</v>
      </c>
      <c r="S264" s="8">
        <v>-615407</v>
      </c>
      <c r="T264" s="3">
        <v>43</v>
      </c>
      <c r="U264" s="3">
        <v>307</v>
      </c>
      <c r="V264" s="3"/>
      <c r="W264" s="8">
        <v>-225036</v>
      </c>
      <c r="X264" s="3" t="s">
        <v>806</v>
      </c>
      <c r="Y264" s="3" t="s">
        <v>807</v>
      </c>
      <c r="Z264" s="3" t="s">
        <v>808</v>
      </c>
      <c r="AA264" s="3" t="s">
        <v>809</v>
      </c>
      <c r="AB264" s="3"/>
      <c r="AC264" s="8">
        <v>144200</v>
      </c>
      <c r="AD264" s="8">
        <v>1547227.8783145789</v>
      </c>
      <c r="AE264" s="8">
        <v>1029421.1376671561</v>
      </c>
      <c r="AF264" s="8">
        <f>VALUE(SUBSTITUTE(LEFT(Z264, FIND(" ", Z264) - 1), ",", ""))</f>
        <v>1053147</v>
      </c>
      <c r="AG264" s="15">
        <f ca="1">(AF264/YEARFRAC(A264,TODAY())/P264)</f>
        <v>32806.046656513914</v>
      </c>
      <c r="AI264" s="8">
        <f>VALUE(SUBSTITUTE(LEFT(X264, FIND(" ", X264) - 1), ",", ""))</f>
        <v>1204861</v>
      </c>
      <c r="AK264" s="20" t="str">
        <f>IF(AI264&gt;AC264, "YES","")</f>
        <v>YES</v>
      </c>
    </row>
    <row r="265" spans="1:37" x14ac:dyDescent="0.25">
      <c r="A265" s="17">
        <v>45755</v>
      </c>
      <c r="B265" s="12" t="s">
        <v>44</v>
      </c>
      <c r="C265" s="12">
        <v>42</v>
      </c>
      <c r="D265" s="12" t="s">
        <v>122</v>
      </c>
      <c r="E265" s="12" t="s">
        <v>33</v>
      </c>
      <c r="F265" s="12" t="s">
        <v>37</v>
      </c>
      <c r="G265" s="12" t="s">
        <v>44</v>
      </c>
      <c r="H265" s="12">
        <v>42</v>
      </c>
      <c r="I265" s="12" t="s">
        <v>50</v>
      </c>
      <c r="J265" s="12" t="s">
        <v>33</v>
      </c>
      <c r="K265" s="12" t="s">
        <v>34</v>
      </c>
      <c r="L265" s="12" t="s">
        <v>38</v>
      </c>
      <c r="M265" s="12">
        <v>0.74</v>
      </c>
      <c r="N265" s="12">
        <v>317.39999999999998</v>
      </c>
      <c r="O265" s="12">
        <v>235.2</v>
      </c>
      <c r="P265" s="12">
        <v>122.4</v>
      </c>
      <c r="Q265" s="16">
        <v>7400000</v>
      </c>
      <c r="R265" s="16">
        <v>10000000</v>
      </c>
      <c r="S265" s="16">
        <v>-919190</v>
      </c>
      <c r="T265" s="12">
        <v>37</v>
      </c>
      <c r="U265" s="12">
        <v>252</v>
      </c>
      <c r="V265" s="12"/>
      <c r="W265" s="16">
        <v>438418</v>
      </c>
      <c r="X265" s="12" t="s">
        <v>1136</v>
      </c>
      <c r="Y265" s="12" t="s">
        <v>1137</v>
      </c>
      <c r="Z265" s="12" t="s">
        <v>1138</v>
      </c>
      <c r="AA265" s="12" t="s">
        <v>1139</v>
      </c>
      <c r="AB265" s="3"/>
      <c r="AC265" s="8">
        <v>174048</v>
      </c>
      <c r="AD265" s="8">
        <v>1055913.8672142371</v>
      </c>
      <c r="AE265" s="8">
        <v>1055913.8672142371</v>
      </c>
      <c r="AF265" s="8">
        <f>VALUE(SUBSTITUTE(LEFT(Z265, FIND(" ", Z265) - 1), ",", ""))</f>
        <v>502517</v>
      </c>
      <c r="AG265" s="15">
        <f ca="1">(AF265/YEARFRAC(A265,TODAY())/P265)</f>
        <v>6132.7434708323162</v>
      </c>
      <c r="AI265" s="8">
        <f>VALUE(SUBSTITUTE(LEFT(X265, FIND(" ", X265) - 1), ",", ""))</f>
        <v>553036</v>
      </c>
      <c r="AK265" s="20" t="str">
        <f>IF(AI265&gt;AC265, "YES","")</f>
        <v>YES</v>
      </c>
    </row>
    <row r="266" spans="1:37" x14ac:dyDescent="0.25">
      <c r="A266" s="17">
        <v>45757</v>
      </c>
      <c r="B266" s="12" t="s">
        <v>44</v>
      </c>
      <c r="C266" s="12">
        <v>42</v>
      </c>
      <c r="D266" s="12" t="s">
        <v>122</v>
      </c>
      <c r="E266" s="12" t="s">
        <v>33</v>
      </c>
      <c r="F266" s="12" t="s">
        <v>37</v>
      </c>
      <c r="G266" s="12" t="s">
        <v>44</v>
      </c>
      <c r="H266" s="12">
        <v>42</v>
      </c>
      <c r="I266" s="12" t="s">
        <v>50</v>
      </c>
      <c r="J266" s="12" t="s">
        <v>33</v>
      </c>
      <c r="K266" s="12" t="s">
        <v>34</v>
      </c>
      <c r="L266" s="12" t="s">
        <v>38</v>
      </c>
      <c r="M266" s="12">
        <v>0.74</v>
      </c>
      <c r="N266" s="12">
        <v>329.2</v>
      </c>
      <c r="O266" s="12">
        <v>229.3</v>
      </c>
      <c r="P266" s="12">
        <v>129.19999999999999</v>
      </c>
      <c r="Q266" s="16">
        <v>7431550</v>
      </c>
      <c r="R266" s="16">
        <v>10000000</v>
      </c>
      <c r="S266" s="16">
        <v>-880461</v>
      </c>
      <c r="T266" s="12">
        <v>39</v>
      </c>
      <c r="U266" s="12">
        <v>254</v>
      </c>
      <c r="V266" s="12"/>
      <c r="W266" s="16">
        <v>456035</v>
      </c>
      <c r="X266" s="12" t="s">
        <v>1091</v>
      </c>
      <c r="Y266" s="12" t="s">
        <v>1092</v>
      </c>
      <c r="Z266" s="12" t="s">
        <v>1093</v>
      </c>
      <c r="AA266" s="12" t="s">
        <v>1094</v>
      </c>
      <c r="AB266" s="3"/>
      <c r="AC266" s="8">
        <v>170405.44149999999</v>
      </c>
      <c r="AD266" s="8">
        <v>1056547.783230664</v>
      </c>
      <c r="AE266" s="8">
        <v>1056547.783230664</v>
      </c>
      <c r="AF266" s="8">
        <f>VALUE(SUBSTITUTE(LEFT(Z266, FIND(" ", Z266) - 1), ",", ""))</f>
        <v>539971</v>
      </c>
      <c r="AG266" s="15">
        <f ca="1">(AF266/YEARFRAC(A266,TODAY())/P266)</f>
        <v>6295.2433384717033</v>
      </c>
      <c r="AI266" s="8">
        <f>VALUE(SUBSTITUTE(LEFT(X266, FIND(" ", X266) - 1), ",", ""))</f>
        <v>553586</v>
      </c>
      <c r="AK266" s="20" t="str">
        <f>IF(AI266&gt;AC266, "YES","")</f>
        <v>YES</v>
      </c>
    </row>
    <row r="267" spans="1:37" x14ac:dyDescent="0.25">
      <c r="A267" s="5">
        <v>45401</v>
      </c>
      <c r="B267" s="3" t="s">
        <v>35</v>
      </c>
      <c r="C267" s="3">
        <v>41</v>
      </c>
      <c r="D267" s="3" t="s">
        <v>43</v>
      </c>
      <c r="E267" s="3" t="s">
        <v>33</v>
      </c>
      <c r="F267" s="3" t="s">
        <v>34</v>
      </c>
      <c r="G267" s="3" t="s">
        <v>44</v>
      </c>
      <c r="H267" s="3">
        <v>39</v>
      </c>
      <c r="I267" s="3" t="s">
        <v>43</v>
      </c>
      <c r="J267" s="3" t="s">
        <v>33</v>
      </c>
      <c r="K267" s="3" t="s">
        <v>37</v>
      </c>
      <c r="L267" s="3" t="s">
        <v>38</v>
      </c>
      <c r="M267" s="3">
        <v>0.18</v>
      </c>
      <c r="N267" s="3">
        <v>45.3</v>
      </c>
      <c r="O267" s="3">
        <v>40.799999999999997</v>
      </c>
      <c r="P267" s="3">
        <v>25.6</v>
      </c>
      <c r="Q267" s="8">
        <v>24571909</v>
      </c>
      <c r="R267" s="8">
        <v>140000000</v>
      </c>
      <c r="S267" s="8">
        <v>-729327</v>
      </c>
      <c r="T267" s="3">
        <v>334</v>
      </c>
      <c r="U267" s="3">
        <v>50</v>
      </c>
      <c r="V267" s="3"/>
      <c r="W267" s="8">
        <v>76356</v>
      </c>
      <c r="X267" s="3" t="s">
        <v>703</v>
      </c>
      <c r="Y267" s="3" t="s">
        <v>704</v>
      </c>
      <c r="Z267" s="3" t="s">
        <v>705</v>
      </c>
      <c r="AA267" s="3" t="s">
        <v>706</v>
      </c>
      <c r="AB267" s="3"/>
      <c r="AC267" s="8">
        <v>100253.38872</v>
      </c>
      <c r="AD267" s="8">
        <v>1323435.7946962351</v>
      </c>
      <c r="AE267" s="8">
        <v>1062066.1951804201</v>
      </c>
      <c r="AF267" s="8">
        <f>VALUE(SUBSTITUTE(LEFT(Z267, FIND(" ", Z267) - 1), ",", ""))</f>
        <v>353216</v>
      </c>
      <c r="AG267" s="15">
        <f ca="1">(AF267/YEARFRAC(A267,TODAY())/P267)</f>
        <v>8418.8135593220341</v>
      </c>
      <c r="AI267" s="8">
        <f>VALUE(SUBSTITUTE(LEFT(X267, FIND(" ", X267) - 1), ",", ""))</f>
        <v>1303753</v>
      </c>
      <c r="AK267" s="20" t="str">
        <f>IF(AI267&gt;AC267, "YES","")</f>
        <v>YES</v>
      </c>
    </row>
    <row r="268" spans="1:37" x14ac:dyDescent="0.25">
      <c r="A268" s="5">
        <v>45744</v>
      </c>
      <c r="B268" s="3" t="s">
        <v>31</v>
      </c>
      <c r="C268" s="3">
        <v>43</v>
      </c>
      <c r="D268" s="3" t="s">
        <v>32</v>
      </c>
      <c r="E268" s="3" t="s">
        <v>33</v>
      </c>
      <c r="F268" s="3" t="s">
        <v>34</v>
      </c>
      <c r="G268" s="3" t="s">
        <v>57</v>
      </c>
      <c r="H268" s="3">
        <v>41</v>
      </c>
      <c r="I268" s="3" t="s">
        <v>43</v>
      </c>
      <c r="J268" s="3" t="s">
        <v>33</v>
      </c>
      <c r="K268" s="3" t="s">
        <v>37</v>
      </c>
      <c r="L268" s="3" t="s">
        <v>38</v>
      </c>
      <c r="M268" s="3">
        <v>0.4</v>
      </c>
      <c r="N268" s="3">
        <v>4.9000000000000004</v>
      </c>
      <c r="O268" s="3">
        <v>146.80000000000001</v>
      </c>
      <c r="P268" s="3">
        <v>117.9</v>
      </c>
      <c r="Q268" s="8">
        <v>10105307</v>
      </c>
      <c r="R268" s="8">
        <v>25000000</v>
      </c>
      <c r="S268" s="8">
        <v>-606763</v>
      </c>
      <c r="T268" s="3">
        <v>221</v>
      </c>
      <c r="U268" s="3">
        <v>87</v>
      </c>
      <c r="V268" s="3"/>
      <c r="W268" s="8">
        <v>-569150</v>
      </c>
      <c r="X268" s="3" t="s">
        <v>1021</v>
      </c>
      <c r="Y268" s="3" t="s">
        <v>1022</v>
      </c>
      <c r="Z268" s="3" t="s">
        <v>1023</v>
      </c>
      <c r="AA268" s="3"/>
      <c r="AB268" s="3"/>
      <c r="AC268" s="8">
        <v>148345.90676000001</v>
      </c>
      <c r="AD268" s="8">
        <v>136542.22576755661</v>
      </c>
      <c r="AE268" s="8">
        <v>1067362.402226971</v>
      </c>
      <c r="AF268" s="8">
        <f>VALUE(SUBSTITUTE(LEFT(Z268, FIND(" ", Z268) - 1), ",", ""))</f>
        <v>136531</v>
      </c>
      <c r="AG268" s="15">
        <f ca="1">(AF268/YEARFRAC(A268,TODAY())/P268)</f>
        <v>1660.9105562482891</v>
      </c>
      <c r="AI268" s="8">
        <f>VALUE(SUBSTITUTE(LEFT(X268, FIND(" ", X268) - 1), ",", ""))</f>
        <v>665612</v>
      </c>
      <c r="AK268" s="20" t="str">
        <f>IF(AI268&gt;AC268, "YES","")</f>
        <v>YES</v>
      </c>
    </row>
    <row r="269" spans="1:37" x14ac:dyDescent="0.25">
      <c r="A269" s="5">
        <v>45447</v>
      </c>
      <c r="B269" s="3" t="s">
        <v>57</v>
      </c>
      <c r="C269" s="3">
        <v>39</v>
      </c>
      <c r="D269" s="3" t="s">
        <v>43</v>
      </c>
      <c r="E269" s="3" t="s">
        <v>33</v>
      </c>
      <c r="F269" s="3" t="s">
        <v>37</v>
      </c>
      <c r="G269" s="3" t="s">
        <v>35</v>
      </c>
      <c r="H269" s="3">
        <v>40</v>
      </c>
      <c r="I269" s="3" t="s">
        <v>82</v>
      </c>
      <c r="J269" s="3" t="s">
        <v>33</v>
      </c>
      <c r="K269" s="3" t="s">
        <v>34</v>
      </c>
      <c r="L269" s="3" t="s">
        <v>38</v>
      </c>
      <c r="M269" s="3">
        <v>6.81</v>
      </c>
      <c r="N269" s="3">
        <v>8</v>
      </c>
      <c r="O269" s="3">
        <v>38.200000000000003</v>
      </c>
      <c r="P269" s="3">
        <v>81.599999999999994</v>
      </c>
      <c r="Q269" s="8">
        <v>25000000</v>
      </c>
      <c r="R269" s="8">
        <v>3672652</v>
      </c>
      <c r="S269" s="8">
        <v>-329462</v>
      </c>
      <c r="T269" s="3">
        <v>82</v>
      </c>
      <c r="U269" s="3">
        <v>597</v>
      </c>
      <c r="V269" s="3"/>
      <c r="W269" s="8">
        <v>198136</v>
      </c>
      <c r="X269" s="3" t="s">
        <v>710</v>
      </c>
      <c r="Y269" s="3" t="s">
        <v>711</v>
      </c>
      <c r="Z269" s="3" t="s">
        <v>712</v>
      </c>
      <c r="AA269" s="3" t="s">
        <v>42</v>
      </c>
      <c r="AB269" s="3"/>
      <c r="AC269" s="8">
        <v>95500.000000000015</v>
      </c>
      <c r="AD269" s="8">
        <v>167507.6208186172</v>
      </c>
      <c r="AE269" s="8">
        <v>1080093.3354407151</v>
      </c>
      <c r="AF269" s="8">
        <f>VALUE(SUBSTITUTE(LEFT(Z269, FIND(" ", Z269) - 1), ",", ""))</f>
        <v>216096</v>
      </c>
      <c r="AG269" s="15">
        <f ca="1">(AF269/YEARFRAC(A269,TODAY())/P269)</f>
        <v>1749.2930383162441</v>
      </c>
      <c r="AI269" s="8">
        <f>VALUE(SUBSTITUTE(LEFT(X269, FIND(" ", X269) - 1), ",", ""))</f>
        <v>270396</v>
      </c>
      <c r="AK269" s="20" t="str">
        <f>IF(AI269&gt;AC269, "YES","")</f>
        <v>YES</v>
      </c>
    </row>
    <row r="270" spans="1:37" x14ac:dyDescent="0.25">
      <c r="A270" s="5">
        <v>45754</v>
      </c>
      <c r="B270" s="3" t="s">
        <v>44</v>
      </c>
      <c r="C270" s="3">
        <v>42</v>
      </c>
      <c r="D270" s="3" t="s">
        <v>122</v>
      </c>
      <c r="E270" s="3" t="s">
        <v>33</v>
      </c>
      <c r="F270" s="3" t="s">
        <v>37</v>
      </c>
      <c r="G270" s="3" t="s">
        <v>44</v>
      </c>
      <c r="H270" s="3">
        <v>42</v>
      </c>
      <c r="I270" s="3" t="s">
        <v>50</v>
      </c>
      <c r="J270" s="3" t="s">
        <v>33</v>
      </c>
      <c r="K270" s="3" t="s">
        <v>34</v>
      </c>
      <c r="L270" s="3" t="s">
        <v>38</v>
      </c>
      <c r="M270" s="3">
        <v>0.74</v>
      </c>
      <c r="N270" s="3">
        <v>336.3</v>
      </c>
      <c r="O270" s="3">
        <v>269.89999999999998</v>
      </c>
      <c r="P270" s="3">
        <v>111.6</v>
      </c>
      <c r="Q270" s="8">
        <v>7430732</v>
      </c>
      <c r="R270" s="8">
        <v>10000000</v>
      </c>
      <c r="S270" s="8">
        <v>-968183</v>
      </c>
      <c r="T270" s="3">
        <v>40</v>
      </c>
      <c r="U270" s="3">
        <v>260</v>
      </c>
      <c r="V270" s="3"/>
      <c r="W270" s="8">
        <v>384147</v>
      </c>
      <c r="X270" s="3" t="s">
        <v>576</v>
      </c>
      <c r="Y270" s="3" t="s">
        <v>577</v>
      </c>
      <c r="Z270" s="3" t="s">
        <v>578</v>
      </c>
      <c r="AA270" s="3" t="s">
        <v>579</v>
      </c>
      <c r="AB270" s="3"/>
      <c r="AC270" s="8">
        <v>200555.45668</v>
      </c>
      <c r="AD270" s="8">
        <v>1083137.6035482551</v>
      </c>
      <c r="AE270" s="8">
        <v>1083137.6035482551</v>
      </c>
      <c r="AF270" s="8">
        <f>VALUE(SUBSTITUTE(LEFT(Z270, FIND(" ", Z270) - 1), ",", ""))</f>
        <v>566932</v>
      </c>
      <c r="AG270" s="15">
        <f ca="1">(AF270/YEARFRAC(A270,TODAY())/P270)</f>
        <v>7557.0781125033327</v>
      </c>
      <c r="AI270" s="8">
        <f>VALUE(SUBSTITUTE(LEFT(X270, FIND(" ", X270) - 1), ",", ""))</f>
        <v>580541</v>
      </c>
      <c r="AK270" s="20" t="str">
        <f>IF(AI270&gt;AC270, "YES","")</f>
        <v>YES</v>
      </c>
    </row>
    <row r="271" spans="1:37" x14ac:dyDescent="0.25">
      <c r="A271" s="5">
        <v>44701</v>
      </c>
      <c r="B271" s="3" t="s">
        <v>44</v>
      </c>
      <c r="C271" s="3">
        <v>35</v>
      </c>
      <c r="D271" s="3" t="s">
        <v>43</v>
      </c>
      <c r="E271" s="3" t="s">
        <v>33</v>
      </c>
      <c r="F271" s="3" t="s">
        <v>37</v>
      </c>
      <c r="G271" s="3" t="s">
        <v>58</v>
      </c>
      <c r="H271" s="3">
        <v>37</v>
      </c>
      <c r="I271" s="3" t="s">
        <v>68</v>
      </c>
      <c r="J271" s="3" t="s">
        <v>33</v>
      </c>
      <c r="K271" s="3" t="s">
        <v>34</v>
      </c>
      <c r="L271" s="3" t="s">
        <v>38</v>
      </c>
      <c r="M271" s="3">
        <v>8.18</v>
      </c>
      <c r="N271" s="3">
        <v>21.4</v>
      </c>
      <c r="O271" s="3">
        <v>74.5</v>
      </c>
      <c r="P271" s="3">
        <v>96.7</v>
      </c>
      <c r="Q271" s="8">
        <v>40922789</v>
      </c>
      <c r="R271" s="8">
        <v>5000000</v>
      </c>
      <c r="S271" s="8">
        <v>-873557</v>
      </c>
      <c r="T271" s="3">
        <v>87</v>
      </c>
      <c r="U271" s="3">
        <v>879</v>
      </c>
      <c r="V271" s="3"/>
      <c r="W271" s="8">
        <v>416192</v>
      </c>
      <c r="X271" s="3" t="s">
        <v>170</v>
      </c>
      <c r="Y271" s="3" t="s">
        <v>171</v>
      </c>
      <c r="Z271" s="3" t="s">
        <v>172</v>
      </c>
      <c r="AA271" s="3" t="s">
        <v>42</v>
      </c>
      <c r="AB271" s="3"/>
      <c r="AC271" s="8">
        <v>304874.77805000002</v>
      </c>
      <c r="AD271" s="8">
        <v>561172.70270882989</v>
      </c>
      <c r="AE271" s="8">
        <v>1101351.8878934369</v>
      </c>
      <c r="AF271" s="8">
        <f>VALUE(SUBSTITUTE(LEFT(Z271, FIND(" ", Z271) - 1), ",", ""))</f>
        <v>654927</v>
      </c>
      <c r="AG271" s="15">
        <f ca="1">(AF271/YEARFRAC(A271,TODAY())/P271)</f>
        <v>1906.3312939190309</v>
      </c>
      <c r="AI271" s="8">
        <f>VALUE(SUBSTITUTE(LEFT(X271, FIND(" ", X271) - 1), ",", ""))</f>
        <v>721177</v>
      </c>
      <c r="AK271" s="20" t="str">
        <f>IF(AI271&gt;AC271, "YES","")</f>
        <v>YES</v>
      </c>
    </row>
    <row r="272" spans="1:37" hidden="1" x14ac:dyDescent="0.25">
      <c r="A272" s="5">
        <v>45714</v>
      </c>
      <c r="B272" s="3" t="s">
        <v>57</v>
      </c>
      <c r="C272" s="3">
        <v>42</v>
      </c>
      <c r="D272" s="3" t="s">
        <v>43</v>
      </c>
      <c r="E272" s="3" t="s">
        <v>33</v>
      </c>
      <c r="F272" s="3" t="s">
        <v>37</v>
      </c>
      <c r="G272" s="3" t="s">
        <v>31</v>
      </c>
      <c r="H272" s="3">
        <v>43</v>
      </c>
      <c r="I272" s="3" t="s">
        <v>32</v>
      </c>
      <c r="J272" s="3" t="s">
        <v>33</v>
      </c>
      <c r="K272" s="3" t="s">
        <v>34</v>
      </c>
      <c r="L272" s="3" t="s">
        <v>118</v>
      </c>
      <c r="M272" s="3">
        <v>2.4900000000000002</v>
      </c>
      <c r="N272" s="3">
        <v>-20.100000000000001</v>
      </c>
      <c r="O272" s="3">
        <v>26</v>
      </c>
      <c r="P272" s="3">
        <v>0.2</v>
      </c>
      <c r="Q272" s="8">
        <v>37309699</v>
      </c>
      <c r="R272" s="8">
        <v>15000000</v>
      </c>
      <c r="S272" s="8">
        <v>-591016</v>
      </c>
      <c r="T272" s="3">
        <v>97</v>
      </c>
      <c r="U272" s="3">
        <v>192</v>
      </c>
      <c r="V272" s="3"/>
      <c r="W272" s="8">
        <v>-463406</v>
      </c>
      <c r="X272" s="3" t="s">
        <v>984</v>
      </c>
      <c r="Y272" s="3" t="s">
        <v>985</v>
      </c>
      <c r="Z272" s="3" t="s">
        <v>986</v>
      </c>
      <c r="AA272" s="3"/>
      <c r="AB272" s="3"/>
      <c r="AC272" s="8">
        <v>97005.217399999994</v>
      </c>
      <c r="AD272" s="22">
        <v>-355710.8094932239</v>
      </c>
      <c r="AE272" s="23">
        <v>1112889.1812983479</v>
      </c>
      <c r="AF272" s="21">
        <f>VALUE(SUBSTITUTE(LEFT(Z272, FIND(" ", Z272) - 1), ",", ""))</f>
        <v>-50831</v>
      </c>
      <c r="AG272" s="15">
        <f ca="1">(AF272/YEARFRAC(A272,TODAY())/P272)</f>
        <v>-323306.71378091868</v>
      </c>
      <c r="AI272" s="8">
        <f>VALUE(SUBSTITUTE(LEFT(X272, FIND(" ", X272) - 1), ",", ""))</f>
        <v>539712</v>
      </c>
      <c r="AK272" s="20" t="str">
        <f>IF(AI272&gt;AC272, "YES","")</f>
        <v>YES</v>
      </c>
    </row>
    <row r="273" spans="1:37" x14ac:dyDescent="0.25">
      <c r="A273" s="5">
        <v>44701</v>
      </c>
      <c r="B273" s="3" t="s">
        <v>35</v>
      </c>
      <c r="C273" s="3">
        <v>35</v>
      </c>
      <c r="D273" s="3" t="s">
        <v>43</v>
      </c>
      <c r="E273" s="3" t="s">
        <v>33</v>
      </c>
      <c r="F273" s="3" t="s">
        <v>37</v>
      </c>
      <c r="G273" s="3" t="s">
        <v>58</v>
      </c>
      <c r="H273" s="3">
        <v>37</v>
      </c>
      <c r="I273" s="3" t="s">
        <v>68</v>
      </c>
      <c r="J273" s="3" t="s">
        <v>33</v>
      </c>
      <c r="K273" s="3" t="s">
        <v>34</v>
      </c>
      <c r="L273" s="3" t="s">
        <v>38</v>
      </c>
      <c r="M273" s="3">
        <v>1.78</v>
      </c>
      <c r="N273" s="3">
        <v>59.6</v>
      </c>
      <c r="O273" s="3">
        <v>287.3</v>
      </c>
      <c r="P273" s="3">
        <v>110.6</v>
      </c>
      <c r="Q273" s="8">
        <v>8900510</v>
      </c>
      <c r="R273" s="8">
        <v>5000000</v>
      </c>
      <c r="S273" s="8">
        <v>-879173</v>
      </c>
      <c r="T273" s="3">
        <v>439</v>
      </c>
      <c r="U273" s="3">
        <v>879</v>
      </c>
      <c r="V273" s="3"/>
      <c r="W273" s="8">
        <v>430866</v>
      </c>
      <c r="X273" s="3" t="s">
        <v>164</v>
      </c>
      <c r="Y273" s="3" t="s">
        <v>165</v>
      </c>
      <c r="Z273" s="3" t="s">
        <v>166</v>
      </c>
      <c r="AA273" s="3" t="s">
        <v>42</v>
      </c>
      <c r="AB273" s="3"/>
      <c r="AC273" s="8">
        <v>255711.65229999999</v>
      </c>
      <c r="AD273" s="8">
        <v>419410.74773990433</v>
      </c>
      <c r="AE273" s="8">
        <v>1115626.318504239</v>
      </c>
      <c r="AF273" s="8">
        <f>VALUE(SUBSTITUTE(LEFT(Z273, FIND(" ", Z273) - 1), ",", ""))</f>
        <v>544358</v>
      </c>
      <c r="AG273" s="15">
        <f ca="1">(AF273/YEARFRAC(A273,TODAY())/P273)</f>
        <v>1385.3561566945245</v>
      </c>
      <c r="AI273" s="8">
        <f>VALUE(SUBSTITUTE(LEFT(X273, FIND(" ", X273) - 1), ",", ""))</f>
        <v>695943</v>
      </c>
      <c r="AK273" s="20" t="str">
        <f>IF(AI273&gt;AC273, "YES","")</f>
        <v>YES</v>
      </c>
    </row>
    <row r="274" spans="1:37" x14ac:dyDescent="0.25">
      <c r="A274" s="17">
        <v>45737</v>
      </c>
      <c r="B274" s="12" t="s">
        <v>57</v>
      </c>
      <c r="C274" s="12">
        <v>41</v>
      </c>
      <c r="D274" s="12" t="s">
        <v>43</v>
      </c>
      <c r="E274" s="12" t="s">
        <v>33</v>
      </c>
      <c r="F274" s="12" t="s">
        <v>37</v>
      </c>
      <c r="G274" s="12" t="s">
        <v>31</v>
      </c>
      <c r="H274" s="12">
        <v>43</v>
      </c>
      <c r="I274" s="12" t="s">
        <v>32</v>
      </c>
      <c r="J274" s="12" t="s">
        <v>33</v>
      </c>
      <c r="K274" s="12" t="s">
        <v>34</v>
      </c>
      <c r="L274" s="12" t="s">
        <v>38</v>
      </c>
      <c r="M274" s="12">
        <v>2.2200000000000002</v>
      </c>
      <c r="N274" s="12">
        <v>6.7</v>
      </c>
      <c r="O274" s="12">
        <v>35.700000000000003</v>
      </c>
      <c r="P274" s="12">
        <v>166.1</v>
      </c>
      <c r="Q274" s="16">
        <v>25000000</v>
      </c>
      <c r="R274" s="16">
        <v>11300000</v>
      </c>
      <c r="S274" s="16">
        <v>-624717</v>
      </c>
      <c r="T274" s="12">
        <v>91</v>
      </c>
      <c r="U274" s="12">
        <v>215</v>
      </c>
      <c r="V274" s="12"/>
      <c r="W274" s="16">
        <v>815234</v>
      </c>
      <c r="X274" s="12" t="s">
        <v>1125</v>
      </c>
      <c r="Y274" s="12" t="s">
        <v>1126</v>
      </c>
      <c r="Z274" s="12" t="s">
        <v>1127</v>
      </c>
      <c r="AA274" s="12"/>
      <c r="AB274" s="3"/>
      <c r="AC274" s="8">
        <v>89250</v>
      </c>
      <c r="AD274" s="8">
        <v>187373.71663244339</v>
      </c>
      <c r="AE274" s="8">
        <v>1120034.7737652729</v>
      </c>
      <c r="AF274" s="8">
        <f>VALUE(SUBSTITUTE(LEFT(Z274, FIND(" ", Z274) - 1), ",", ""))</f>
        <v>72664</v>
      </c>
      <c r="AG274" s="15">
        <f ca="1">(AF274/YEARFRAC(A274,TODAY())/P274)</f>
        <v>610.42521316662703</v>
      </c>
      <c r="AI274" s="8">
        <f>VALUE(SUBSTITUTE(LEFT(X274, FIND(" ", X274) - 1), ",", ""))</f>
        <v>177322</v>
      </c>
      <c r="AK274" s="20" t="str">
        <f>IF(AI274&gt;AC274, "YES","")</f>
        <v>YES</v>
      </c>
    </row>
    <row r="275" spans="1:37" x14ac:dyDescent="0.25">
      <c r="A275" s="5">
        <v>44545</v>
      </c>
      <c r="B275" s="3" t="s">
        <v>44</v>
      </c>
      <c r="C275" s="3">
        <v>36</v>
      </c>
      <c r="D275" s="3" t="s">
        <v>45</v>
      </c>
      <c r="E275" s="3" t="s">
        <v>33</v>
      </c>
      <c r="F275" s="3" t="s">
        <v>37</v>
      </c>
      <c r="G275" s="3" t="s">
        <v>35</v>
      </c>
      <c r="H275" s="3">
        <v>36</v>
      </c>
      <c r="I275" s="3" t="s">
        <v>82</v>
      </c>
      <c r="J275" s="3" t="s">
        <v>33</v>
      </c>
      <c r="K275" s="3" t="s">
        <v>34</v>
      </c>
      <c r="L275" s="3" t="s">
        <v>38</v>
      </c>
      <c r="M275" s="3">
        <v>0.82</v>
      </c>
      <c r="N275" s="3">
        <v>581.1</v>
      </c>
      <c r="O275" s="3">
        <v>224.4</v>
      </c>
      <c r="P275" s="3">
        <v>235.7</v>
      </c>
      <c r="Q275" s="8">
        <v>4085910</v>
      </c>
      <c r="R275" s="8">
        <v>5000000</v>
      </c>
      <c r="S275" s="8">
        <v>-101482</v>
      </c>
      <c r="T275" s="3">
        <v>91</v>
      </c>
      <c r="U275" s="3">
        <v>522</v>
      </c>
      <c r="V275" s="3"/>
      <c r="W275" s="8">
        <v>53837</v>
      </c>
      <c r="X275" s="3" t="s">
        <v>83</v>
      </c>
      <c r="Y275" s="3" t="s">
        <v>84</v>
      </c>
      <c r="Z275" s="3" t="s">
        <v>85</v>
      </c>
      <c r="AA275" s="3" t="s">
        <v>42</v>
      </c>
      <c r="AB275" s="3"/>
      <c r="AC275" s="8">
        <v>91687.820400000011</v>
      </c>
      <c r="AD275" s="8">
        <v>1122001.804213553</v>
      </c>
      <c r="AE275" s="8">
        <v>1122001.804213553</v>
      </c>
      <c r="AF275" s="8">
        <f>VALUE(SUBSTITUTE(LEFT(Z275, FIND(" ", Z275) - 1), ",", ""))</f>
        <v>1128307</v>
      </c>
      <c r="AG275" s="15">
        <f ca="1">(AF275/YEARFRAC(A275,TODAY())/P275)</f>
        <v>1201.7691448778055</v>
      </c>
      <c r="AI275" s="8">
        <f>VALUE(SUBSTITUTE(LEFT(X275, FIND(" ", X275) - 1), ",", ""))</f>
        <v>1133200</v>
      </c>
      <c r="AK275" s="20" t="str">
        <f>IF(AI275&gt;AC275, "YES","")</f>
        <v>YES</v>
      </c>
    </row>
    <row r="276" spans="1:37" x14ac:dyDescent="0.25">
      <c r="A276" s="17">
        <v>45940</v>
      </c>
      <c r="B276" s="12" t="s">
        <v>44</v>
      </c>
      <c r="C276" s="12">
        <v>42</v>
      </c>
      <c r="D276" s="12" t="s">
        <v>122</v>
      </c>
      <c r="E276" s="12" t="s">
        <v>33</v>
      </c>
      <c r="F276" s="12" t="s">
        <v>37</v>
      </c>
      <c r="G276" s="12" t="s">
        <v>35</v>
      </c>
      <c r="H276" s="12">
        <v>44</v>
      </c>
      <c r="I276" s="12" t="s">
        <v>82</v>
      </c>
      <c r="J276" s="12" t="s">
        <v>33</v>
      </c>
      <c r="K276" s="12" t="s">
        <v>34</v>
      </c>
      <c r="L276" s="12" t="s">
        <v>38</v>
      </c>
      <c r="M276" s="12">
        <v>2.36</v>
      </c>
      <c r="N276" s="12">
        <v>187.2</v>
      </c>
      <c r="O276" s="12">
        <v>61.9</v>
      </c>
      <c r="P276" s="12">
        <v>306.10000000000002</v>
      </c>
      <c r="Q276" s="16">
        <v>11800000</v>
      </c>
      <c r="R276" s="16">
        <v>5000000</v>
      </c>
      <c r="S276" s="16">
        <v>-339252</v>
      </c>
      <c r="T276" s="12">
        <v>24</v>
      </c>
      <c r="U276" s="12">
        <v>480</v>
      </c>
      <c r="V276" s="12"/>
      <c r="W276" s="16">
        <v>1691676</v>
      </c>
      <c r="X276" s="12" t="s">
        <v>1202</v>
      </c>
      <c r="Y276" s="12" t="s">
        <v>1202</v>
      </c>
      <c r="Z276" s="12" t="s">
        <v>1203</v>
      </c>
      <c r="AA276" s="12"/>
      <c r="AB276" s="24"/>
      <c r="AC276" s="25">
        <v>73042</v>
      </c>
      <c r="AD276" s="25">
        <v>1127703.655030801</v>
      </c>
      <c r="AE276" s="26">
        <v>1127703.655030801</v>
      </c>
      <c r="AF276" s="26">
        <f>VALUE(SUBSTITUTE(LEFT(Z276, FIND(" ", Z276) - 1), ",", ""))</f>
        <v>-26317</v>
      </c>
      <c r="AG276" s="27">
        <f ca="1">(AF276/YEARFRAC(A276,TODAY())/P276)</f>
        <v>-524.59426685640551</v>
      </c>
      <c r="AH276" s="24" t="s">
        <v>1238</v>
      </c>
      <c r="AI276" s="25">
        <f>VALUE(SUBSTITUTE(LEFT(X276, FIND(" ", X276) - 1), ",", ""))</f>
        <v>-26317</v>
      </c>
      <c r="AJ276" s="24"/>
      <c r="AK276" s="24" t="str">
        <f>IF(AI276&gt;AC276, "YES","")</f>
        <v/>
      </c>
    </row>
    <row r="277" spans="1:37" x14ac:dyDescent="0.25">
      <c r="A277" s="5">
        <v>45754</v>
      </c>
      <c r="B277" s="3" t="s">
        <v>31</v>
      </c>
      <c r="C277" s="3">
        <v>41</v>
      </c>
      <c r="D277" s="3" t="s">
        <v>43</v>
      </c>
      <c r="E277" s="3" t="s">
        <v>33</v>
      </c>
      <c r="F277" s="3" t="s">
        <v>37</v>
      </c>
      <c r="G277" s="3" t="s">
        <v>58</v>
      </c>
      <c r="H277" s="3">
        <v>43</v>
      </c>
      <c r="I277" s="3" t="s">
        <v>68</v>
      </c>
      <c r="J277" s="3" t="s">
        <v>33</v>
      </c>
      <c r="K277" s="3" t="s">
        <v>34</v>
      </c>
      <c r="L277" s="3" t="s">
        <v>38</v>
      </c>
      <c r="M277" s="3">
        <v>10.75</v>
      </c>
      <c r="N277" s="3">
        <v>6.6</v>
      </c>
      <c r="O277" s="3">
        <v>55.6</v>
      </c>
      <c r="P277" s="3">
        <v>88.3</v>
      </c>
      <c r="Q277" s="8">
        <v>53769150</v>
      </c>
      <c r="R277" s="8">
        <v>5000000</v>
      </c>
      <c r="S277" s="8">
        <v>-1035072</v>
      </c>
      <c r="T277" s="3">
        <v>57</v>
      </c>
      <c r="U277" s="3">
        <v>676</v>
      </c>
      <c r="V277" s="3"/>
      <c r="W277" s="8">
        <v>-310708</v>
      </c>
      <c r="X277" s="3" t="s">
        <v>591</v>
      </c>
      <c r="Y277" s="3" t="s">
        <v>592</v>
      </c>
      <c r="Z277" s="3" t="s">
        <v>593</v>
      </c>
      <c r="AA277" s="3" t="s">
        <v>594</v>
      </c>
      <c r="AB277" s="3"/>
      <c r="AC277" s="8">
        <v>298956.47399999999</v>
      </c>
      <c r="AD277" s="8">
        <v>454513.17805612547</v>
      </c>
      <c r="AE277" s="8">
        <v>1134002.8726177651</v>
      </c>
      <c r="AF277" s="8">
        <f>VALUE(SUBSTITUTE(LEFT(Z277, FIND(" ", Z277) - 1), ",", ""))</f>
        <v>396219</v>
      </c>
      <c r="AG277" s="15">
        <f ca="1">(AF277/YEARFRAC(A277,TODAY())/P277)</f>
        <v>6675.1607498853464</v>
      </c>
      <c r="AI277" s="8">
        <f>VALUE(SUBSTITUTE(LEFT(X277, FIND(" ", X277) - 1), ",", ""))</f>
        <v>445900</v>
      </c>
      <c r="AK277" s="20" t="str">
        <f>IF(AI277&gt;AC277, "YES","")</f>
        <v>YES</v>
      </c>
    </row>
    <row r="278" spans="1:37" x14ac:dyDescent="0.25">
      <c r="A278" s="5">
        <v>44980</v>
      </c>
      <c r="B278" s="3" t="s">
        <v>58</v>
      </c>
      <c r="C278" s="3">
        <v>38</v>
      </c>
      <c r="D278" s="3" t="s">
        <v>43</v>
      </c>
      <c r="E278" s="3" t="s">
        <v>33</v>
      </c>
      <c r="F278" s="3" t="s">
        <v>34</v>
      </c>
      <c r="G278" s="3" t="s">
        <v>35</v>
      </c>
      <c r="H278" s="3">
        <v>38</v>
      </c>
      <c r="I278" s="3" t="s">
        <v>36</v>
      </c>
      <c r="J278" s="3" t="s">
        <v>33</v>
      </c>
      <c r="K278" s="3" t="s">
        <v>37</v>
      </c>
      <c r="L278" s="3" t="s">
        <v>38</v>
      </c>
      <c r="M278" s="3">
        <v>0.82</v>
      </c>
      <c r="N278" s="3">
        <v>253.3</v>
      </c>
      <c r="O278" s="3">
        <v>45.1</v>
      </c>
      <c r="P278" s="3">
        <v>105.2</v>
      </c>
      <c r="Q278" s="8">
        <v>28582586</v>
      </c>
      <c r="R278" s="8">
        <v>35000000</v>
      </c>
      <c r="S278" s="8">
        <v>-5077149</v>
      </c>
      <c r="T278" s="3">
        <v>412</v>
      </c>
      <c r="U278" s="3">
        <v>129</v>
      </c>
      <c r="V278" s="3"/>
      <c r="W278" s="8">
        <v>-3825612</v>
      </c>
      <c r="X278" s="3" t="s">
        <v>273</v>
      </c>
      <c r="Y278" s="3" t="s">
        <v>274</v>
      </c>
      <c r="Z278" s="3" t="s">
        <v>275</v>
      </c>
      <c r="AA278" s="3" t="s">
        <v>276</v>
      </c>
      <c r="AB278" s="3"/>
      <c r="AC278" s="8">
        <v>128907.46286</v>
      </c>
      <c r="AD278" s="8">
        <v>2910787.9895129362</v>
      </c>
      <c r="AE278" s="8">
        <v>1192281.5737191639</v>
      </c>
      <c r="AF278" s="8">
        <f>VALUE(SUBSTITUTE(LEFT(Z278, FIND(" ", Z278) - 1), ",", ""))</f>
        <v>1955397</v>
      </c>
      <c r="AG278" s="15">
        <f ca="1">(AF278/YEARFRAC(A278,TODAY())/P278)</f>
        <v>6651.5632441094886</v>
      </c>
      <c r="AI278" s="8">
        <f>VALUE(SUBSTITUTE(LEFT(X278, FIND(" ", X278) - 1), ",", ""))</f>
        <v>1990883</v>
      </c>
      <c r="AK278" s="20" t="str">
        <f>IF(AI278&gt;AC278, "YES","")</f>
        <v>YES</v>
      </c>
    </row>
    <row r="279" spans="1:37" x14ac:dyDescent="0.25">
      <c r="A279" s="5">
        <v>44917</v>
      </c>
      <c r="B279" s="3" t="s">
        <v>44</v>
      </c>
      <c r="C279" s="3">
        <v>36</v>
      </c>
      <c r="D279" s="3" t="s">
        <v>122</v>
      </c>
      <c r="E279" s="3" t="s">
        <v>33</v>
      </c>
      <c r="F279" s="3" t="s">
        <v>37</v>
      </c>
      <c r="G279" s="3" t="s">
        <v>31</v>
      </c>
      <c r="H279" s="3">
        <v>37</v>
      </c>
      <c r="I279" s="3" t="s">
        <v>32</v>
      </c>
      <c r="J279" s="3" t="s">
        <v>33</v>
      </c>
      <c r="K279" s="3" t="s">
        <v>34</v>
      </c>
      <c r="L279" s="3" t="s">
        <v>38</v>
      </c>
      <c r="M279" s="3">
        <v>0.42</v>
      </c>
      <c r="N279" s="3">
        <v>755.9</v>
      </c>
      <c r="O279" s="3">
        <v>186.5</v>
      </c>
      <c r="P279" s="3">
        <v>319.7</v>
      </c>
      <c r="Q279" s="8">
        <v>4177614</v>
      </c>
      <c r="R279" s="8">
        <v>10000000</v>
      </c>
      <c r="S279" s="8">
        <v>-820707</v>
      </c>
      <c r="T279" s="3">
        <v>35</v>
      </c>
      <c r="U279" s="3">
        <v>317</v>
      </c>
      <c r="V279" s="3"/>
      <c r="W279" s="8">
        <v>-779078</v>
      </c>
      <c r="X279" s="3" t="s">
        <v>232</v>
      </c>
      <c r="Y279" s="3" t="s">
        <v>233</v>
      </c>
      <c r="Z279" s="3" t="s">
        <v>234</v>
      </c>
      <c r="AA279" s="3" t="s">
        <v>235</v>
      </c>
      <c r="AB279" s="3"/>
      <c r="AC279" s="8">
        <v>77912.501099999994</v>
      </c>
      <c r="AD279" s="8">
        <v>1207857.6703874059</v>
      </c>
      <c r="AE279" s="8">
        <v>1207857.6703874059</v>
      </c>
      <c r="AF279" s="8">
        <f>VALUE(SUBSTITUTE(LEFT(Z279, FIND(" ", Z279) - 1), ",", ""))</f>
        <v>1160741</v>
      </c>
      <c r="AG279" s="15">
        <f ca="1">(AF279/YEARFRAC(A279,TODAY())/P279)</f>
        <v>1224.9849979435382</v>
      </c>
      <c r="AI279" s="8">
        <f>VALUE(SUBSTITUTE(LEFT(X279, FIND(" ", X279) - 1), ",", ""))</f>
        <v>1160943</v>
      </c>
      <c r="AK279" s="20" t="str">
        <f>IF(AI279&gt;AC279, "YES","")</f>
        <v>YES</v>
      </c>
    </row>
    <row r="280" spans="1:37" x14ac:dyDescent="0.25">
      <c r="A280" s="5">
        <v>45744</v>
      </c>
      <c r="B280" s="3" t="s">
        <v>35</v>
      </c>
      <c r="C280" s="3">
        <v>41</v>
      </c>
      <c r="D280" s="3" t="s">
        <v>43</v>
      </c>
      <c r="E280" s="3" t="s">
        <v>33</v>
      </c>
      <c r="F280" s="3" t="s">
        <v>37</v>
      </c>
      <c r="G280" s="3" t="s">
        <v>31</v>
      </c>
      <c r="H280" s="3">
        <v>43</v>
      </c>
      <c r="I280" s="3" t="s">
        <v>32</v>
      </c>
      <c r="J280" s="3" t="s">
        <v>33</v>
      </c>
      <c r="K280" s="3" t="s">
        <v>34</v>
      </c>
      <c r="L280" s="3" t="s">
        <v>38</v>
      </c>
      <c r="M280" s="3">
        <v>0.82</v>
      </c>
      <c r="N280" s="3">
        <v>25.2</v>
      </c>
      <c r="O280" s="3">
        <v>81.099999999999994</v>
      </c>
      <c r="P280" s="3">
        <v>257</v>
      </c>
      <c r="Q280" s="8">
        <v>12275952</v>
      </c>
      <c r="R280" s="8">
        <v>15000000</v>
      </c>
      <c r="S280" s="8">
        <v>-1920959</v>
      </c>
      <c r="T280" s="3">
        <v>256</v>
      </c>
      <c r="U280" s="3">
        <v>221</v>
      </c>
      <c r="V280" s="3"/>
      <c r="W280" s="8">
        <v>-1865128</v>
      </c>
      <c r="X280" s="3" t="s">
        <v>999</v>
      </c>
      <c r="Y280" s="3" t="s">
        <v>1000</v>
      </c>
      <c r="Z280" s="3" t="s">
        <v>1001</v>
      </c>
      <c r="AA280" s="3" t="s">
        <v>42</v>
      </c>
      <c r="AB280" s="3"/>
      <c r="AC280" s="8">
        <v>99557.970719999983</v>
      </c>
      <c r="AD280" s="8">
        <v>238996.7049856263</v>
      </c>
      <c r="AE280" s="8">
        <v>1214075.4298365959</v>
      </c>
      <c r="AF280" s="8">
        <f>VALUE(SUBSTITUTE(LEFT(Z280, FIND(" ", Z280) - 1), ",", ""))</f>
        <v>239995</v>
      </c>
      <c r="AG280" s="15">
        <f ca="1">(AF280/YEARFRAC(A280,TODAY())/P280)</f>
        <v>1339.3616196691833</v>
      </c>
      <c r="AI280" s="8">
        <f>VALUE(SUBSTITUTE(LEFT(X280, FIND(" ", X280) - 1), ",", ""))</f>
        <v>270235</v>
      </c>
      <c r="AK280" s="20" t="str">
        <f>IF(AI280&gt;AC280, "YES","")</f>
        <v>YES</v>
      </c>
    </row>
    <row r="281" spans="1:37" x14ac:dyDescent="0.25">
      <c r="A281" s="17">
        <v>45901</v>
      </c>
      <c r="B281" s="12" t="s">
        <v>35</v>
      </c>
      <c r="C281" s="12">
        <v>43</v>
      </c>
      <c r="D281" s="12" t="s">
        <v>43</v>
      </c>
      <c r="E281" s="12" t="s">
        <v>33</v>
      </c>
      <c r="F281" s="12" t="s">
        <v>37</v>
      </c>
      <c r="G281" s="12" t="s">
        <v>58</v>
      </c>
      <c r="H281" s="12">
        <v>43</v>
      </c>
      <c r="I281" s="12" t="s">
        <v>43</v>
      </c>
      <c r="J281" s="12" t="s">
        <v>33</v>
      </c>
      <c r="K281" s="12" t="s">
        <v>34</v>
      </c>
      <c r="L281" s="12" t="s">
        <v>38</v>
      </c>
      <c r="M281" s="12">
        <v>0.99</v>
      </c>
      <c r="N281" s="12">
        <v>8.6999999999999993</v>
      </c>
      <c r="O281" s="12">
        <v>60.4</v>
      </c>
      <c r="P281" s="12">
        <v>236.5</v>
      </c>
      <c r="Q281" s="16">
        <v>39500000</v>
      </c>
      <c r="R281" s="16">
        <v>40000000</v>
      </c>
      <c r="S281" s="16">
        <v>-1616787</v>
      </c>
      <c r="T281" s="12">
        <v>269</v>
      </c>
      <c r="U281" s="12">
        <v>314</v>
      </c>
      <c r="V281" s="12"/>
      <c r="W281" s="16">
        <v>1235997</v>
      </c>
      <c r="X281" s="12" t="s">
        <v>1188</v>
      </c>
      <c r="Y281" s="12" t="s">
        <v>1189</v>
      </c>
      <c r="Z281" s="12" t="s">
        <v>1190</v>
      </c>
      <c r="AA281" s="12"/>
      <c r="AB281" s="3"/>
      <c r="AC281" s="8">
        <v>238580</v>
      </c>
      <c r="AD281" s="8">
        <v>302603.28542094398</v>
      </c>
      <c r="AE281" s="8">
        <v>1215220.1302461941</v>
      </c>
      <c r="AF281" s="8">
        <f>VALUE(SUBSTITUTE(LEFT(Z281, FIND(" ", Z281) - 1), ",", ""))</f>
        <v>128919</v>
      </c>
      <c r="AG281" s="15">
        <f ca="1">(AF281/YEARFRAC(A281,TODAY())/P281)</f>
        <v>2002.4524312896408</v>
      </c>
      <c r="AI281" s="8">
        <f>VALUE(SUBSTITUTE(LEFT(X281, FIND(" ", X281) - 1), ",", ""))</f>
        <v>128919</v>
      </c>
      <c r="AK281" s="20" t="str">
        <f>IF(AI281&gt;AC281, "YES","")</f>
        <v/>
      </c>
    </row>
    <row r="282" spans="1:37" x14ac:dyDescent="0.25">
      <c r="A282" s="5">
        <v>45469</v>
      </c>
      <c r="B282" s="3" t="s">
        <v>35</v>
      </c>
      <c r="C282" s="3">
        <v>41</v>
      </c>
      <c r="D282" s="3" t="s">
        <v>43</v>
      </c>
      <c r="E282" s="3" t="s">
        <v>33</v>
      </c>
      <c r="F282" s="3" t="s">
        <v>34</v>
      </c>
      <c r="G282" s="3" t="s">
        <v>35</v>
      </c>
      <c r="H282" s="3">
        <v>39</v>
      </c>
      <c r="I282" s="3" t="s">
        <v>43</v>
      </c>
      <c r="J282" s="3" t="s">
        <v>33</v>
      </c>
      <c r="K282" s="3" t="s">
        <v>37</v>
      </c>
      <c r="L282" s="3" t="s">
        <v>38</v>
      </c>
      <c r="M282" s="3">
        <v>1.02</v>
      </c>
      <c r="N282" s="3">
        <v>64.099999999999994</v>
      </c>
      <c r="O282" s="3">
        <v>22.2</v>
      </c>
      <c r="P282" s="3">
        <v>51</v>
      </c>
      <c r="Q282" s="8">
        <v>25454783</v>
      </c>
      <c r="R282" s="8">
        <v>25000000</v>
      </c>
      <c r="S282" s="8">
        <v>-141284</v>
      </c>
      <c r="T282" s="3">
        <v>322</v>
      </c>
      <c r="U282" s="3">
        <v>263</v>
      </c>
      <c r="V282" s="3"/>
      <c r="W282" s="8">
        <v>107132</v>
      </c>
      <c r="X282" s="3" t="s">
        <v>770</v>
      </c>
      <c r="Y282" s="3" t="s">
        <v>771</v>
      </c>
      <c r="Z282" s="3" t="s">
        <v>772</v>
      </c>
      <c r="AA282" s="3" t="s">
        <v>773</v>
      </c>
      <c r="AB282" s="3"/>
      <c r="AC282" s="8">
        <v>56509.618260000003</v>
      </c>
      <c r="AD282" s="8">
        <v>1464995.4905735799</v>
      </c>
      <c r="AE282" s="8">
        <v>1229942.9113189131</v>
      </c>
      <c r="AF282" s="8">
        <f>VALUE(SUBSTITUTE(LEFT(Z282, FIND(" ", Z282) - 1), ",", ""))</f>
        <v>506425</v>
      </c>
      <c r="AG282" s="15">
        <f ca="1">(AF282/YEARFRAC(A282,TODAY())/P282)</f>
        <v>6835.1141603869082</v>
      </c>
      <c r="AI282" s="8">
        <f>VALUE(SUBSTITUTE(LEFT(X282, FIND(" ", X282) - 1), ",", ""))</f>
        <v>847216</v>
      </c>
      <c r="AK282" s="20" t="str">
        <f>IF(AI282&gt;AC282, "YES","")</f>
        <v>YES</v>
      </c>
    </row>
    <row r="283" spans="1:37" x14ac:dyDescent="0.25">
      <c r="A283" s="5">
        <v>45447</v>
      </c>
      <c r="B283" s="3" t="s">
        <v>31</v>
      </c>
      <c r="C283" s="3">
        <v>40</v>
      </c>
      <c r="D283" s="3" t="s">
        <v>43</v>
      </c>
      <c r="E283" s="3" t="s">
        <v>33</v>
      </c>
      <c r="F283" s="3" t="s">
        <v>37</v>
      </c>
      <c r="G283" s="3" t="s">
        <v>58</v>
      </c>
      <c r="H283" s="3">
        <v>40</v>
      </c>
      <c r="I283" s="3" t="s">
        <v>43</v>
      </c>
      <c r="J283" s="3" t="s">
        <v>33</v>
      </c>
      <c r="K283" s="3" t="s">
        <v>34</v>
      </c>
      <c r="L283" s="3" t="s">
        <v>38</v>
      </c>
      <c r="M283" s="3">
        <v>5.36</v>
      </c>
      <c r="N283" s="3">
        <v>18.2</v>
      </c>
      <c r="O283" s="3">
        <v>11.1</v>
      </c>
      <c r="P283" s="3">
        <v>23.6</v>
      </c>
      <c r="Q283" s="8">
        <v>133906008</v>
      </c>
      <c r="R283" s="8">
        <v>25000000</v>
      </c>
      <c r="S283" s="8">
        <v>-1045230</v>
      </c>
      <c r="T283" s="3">
        <v>39</v>
      </c>
      <c r="U283" s="3">
        <v>301</v>
      </c>
      <c r="V283" s="3"/>
      <c r="W283" s="8">
        <v>-676413</v>
      </c>
      <c r="X283" s="3" t="s">
        <v>737</v>
      </c>
      <c r="Y283" s="3" t="s">
        <v>738</v>
      </c>
      <c r="Z283" s="3" t="s">
        <v>739</v>
      </c>
      <c r="AA283" s="3" t="s">
        <v>740</v>
      </c>
      <c r="AB283" s="3"/>
      <c r="AC283" s="8">
        <v>148635.66888000001</v>
      </c>
      <c r="AD283" s="8">
        <v>931153.24330622843</v>
      </c>
      <c r="AE283" s="8">
        <v>1230706.323952233</v>
      </c>
      <c r="AF283" s="8">
        <f>VALUE(SUBSTITUTE(LEFT(Z283, FIND(" ", Z283) - 1), ",", ""))</f>
        <v>680788</v>
      </c>
      <c r="AG283" s="15">
        <f ca="1">(AF283/YEARFRAC(A283,TODAY())/P283)</f>
        <v>19054.865495257345</v>
      </c>
      <c r="AI283" s="8">
        <f>VALUE(SUBSTITUTE(LEFT(X283, FIND(" ", X283) - 1), ",", ""))</f>
        <v>680788</v>
      </c>
      <c r="AK283" s="20" t="str">
        <f>IF(AI283&gt;AC283, "YES","")</f>
        <v>YES</v>
      </c>
    </row>
    <row r="284" spans="1:37" x14ac:dyDescent="0.25">
      <c r="A284" s="5">
        <v>45049</v>
      </c>
      <c r="B284" s="3" t="s">
        <v>35</v>
      </c>
      <c r="C284" s="3">
        <v>38</v>
      </c>
      <c r="D284" s="3" t="s">
        <v>43</v>
      </c>
      <c r="E284" s="3" t="s">
        <v>33</v>
      </c>
      <c r="F284" s="3" t="s">
        <v>37</v>
      </c>
      <c r="G284" s="3" t="s">
        <v>31</v>
      </c>
      <c r="H284" s="3">
        <v>39</v>
      </c>
      <c r="I284" s="3" t="s">
        <v>32</v>
      </c>
      <c r="J284" s="3" t="s">
        <v>33</v>
      </c>
      <c r="K284" s="3" t="s">
        <v>34</v>
      </c>
      <c r="L284" s="3" t="s">
        <v>38</v>
      </c>
      <c r="M284" s="3">
        <v>0.8</v>
      </c>
      <c r="N284" s="3">
        <v>59.1</v>
      </c>
      <c r="O284" s="3">
        <v>47.5</v>
      </c>
      <c r="P284" s="3">
        <v>494</v>
      </c>
      <c r="Q284" s="8">
        <v>11927779</v>
      </c>
      <c r="R284" s="8">
        <v>15000000</v>
      </c>
      <c r="S284" s="8">
        <v>-1901094</v>
      </c>
      <c r="T284" s="3">
        <v>417</v>
      </c>
      <c r="U284" s="3">
        <v>370</v>
      </c>
      <c r="V284" s="3"/>
      <c r="W284" s="8">
        <v>-780609</v>
      </c>
      <c r="X284" s="3" t="s">
        <v>296</v>
      </c>
      <c r="Y284" s="3" t="s">
        <v>297</v>
      </c>
      <c r="Z284" s="3" t="s">
        <v>298</v>
      </c>
      <c r="AA284" s="3" t="s">
        <v>42</v>
      </c>
      <c r="AB284" s="3"/>
      <c r="AC284" s="8">
        <v>56656.950250000002</v>
      </c>
      <c r="AD284" s="8">
        <v>266882.55650759721</v>
      </c>
      <c r="AE284" s="8">
        <v>1252303.2555364971</v>
      </c>
      <c r="AF284" s="8">
        <f>VALUE(SUBSTITUTE(LEFT(Z284, FIND(" ", Z284) - 1), ",", ""))</f>
        <v>451253</v>
      </c>
      <c r="AG284" s="15">
        <f ca="1">(AF284/YEARFRAC(A284,TODAY())/P284)</f>
        <v>351.33369666770477</v>
      </c>
      <c r="AI284" s="8">
        <f>VALUE(SUBSTITUTE(LEFT(X284, FIND(" ", X284) - 1), ",", ""))</f>
        <v>663187</v>
      </c>
      <c r="AK284" s="20" t="str">
        <f>IF(AI284&gt;AC284, "YES","")</f>
        <v>YES</v>
      </c>
    </row>
    <row r="285" spans="1:37" x14ac:dyDescent="0.25">
      <c r="A285" s="5">
        <v>45153</v>
      </c>
      <c r="B285" s="3" t="s">
        <v>35</v>
      </c>
      <c r="C285" s="3">
        <v>38</v>
      </c>
      <c r="D285" s="3" t="s">
        <v>36</v>
      </c>
      <c r="E285" s="3" t="s">
        <v>33</v>
      </c>
      <c r="F285" s="3" t="s">
        <v>37</v>
      </c>
      <c r="G285" s="3" t="s">
        <v>35</v>
      </c>
      <c r="H285" s="3">
        <v>38</v>
      </c>
      <c r="I285" s="3" t="s">
        <v>82</v>
      </c>
      <c r="J285" s="3" t="s">
        <v>33</v>
      </c>
      <c r="K285" s="3" t="s">
        <v>34</v>
      </c>
      <c r="L285" s="3" t="s">
        <v>38</v>
      </c>
      <c r="M285" s="3">
        <v>2.9</v>
      </c>
      <c r="N285" s="3">
        <v>218</v>
      </c>
      <c r="O285" s="3">
        <v>44.3</v>
      </c>
      <c r="P285" s="3">
        <v>405.9</v>
      </c>
      <c r="Q285" s="8">
        <v>14478170</v>
      </c>
      <c r="R285" s="8">
        <v>5000000</v>
      </c>
      <c r="S285" s="8">
        <v>-3141663</v>
      </c>
      <c r="T285" s="3">
        <v>92</v>
      </c>
      <c r="U285" s="3">
        <v>843</v>
      </c>
      <c r="V285" s="3"/>
      <c r="W285" s="8">
        <v>-2881625</v>
      </c>
      <c r="X285" s="3" t="s">
        <v>325</v>
      </c>
      <c r="Y285" s="3" t="s">
        <v>326</v>
      </c>
      <c r="Z285" s="3" t="s">
        <v>327</v>
      </c>
      <c r="AA285" s="3" t="s">
        <v>42</v>
      </c>
      <c r="AB285" s="3"/>
      <c r="AC285" s="8">
        <v>64138.293100000003</v>
      </c>
      <c r="AD285" s="8">
        <v>1253447.5771882271</v>
      </c>
      <c r="AE285" s="8">
        <v>1253447.5771882271</v>
      </c>
      <c r="AF285" s="8">
        <f>VALUE(SUBSTITUTE(LEFT(Z285, FIND(" ", Z285) - 1), ",", ""))</f>
        <v>1667137</v>
      </c>
      <c r="AG285" s="15">
        <f ca="1">(AF285/YEARFRAC(A285,TODAY())/P285)</f>
        <v>1772.9181621443422</v>
      </c>
      <c r="AI285" s="8">
        <f>VALUE(SUBSTITUTE(LEFT(X285, FIND(" ", X285) - 1), ",", ""))</f>
        <v>1670462</v>
      </c>
      <c r="AK285" s="20" t="str">
        <f>IF(AI285&gt;AC285, "YES","")</f>
        <v>YES</v>
      </c>
    </row>
    <row r="286" spans="1:37" x14ac:dyDescent="0.25">
      <c r="A286" s="5">
        <v>44701</v>
      </c>
      <c r="B286" s="3" t="s">
        <v>58</v>
      </c>
      <c r="C286" s="3">
        <v>36</v>
      </c>
      <c r="D286" s="3" t="s">
        <v>43</v>
      </c>
      <c r="E286" s="3" t="s">
        <v>33</v>
      </c>
      <c r="F286" s="3" t="s">
        <v>37</v>
      </c>
      <c r="G286" s="3" t="s">
        <v>58</v>
      </c>
      <c r="H286" s="3">
        <v>38</v>
      </c>
      <c r="I286" s="3" t="s">
        <v>43</v>
      </c>
      <c r="J286" s="3" t="s">
        <v>33</v>
      </c>
      <c r="K286" s="3" t="s">
        <v>34</v>
      </c>
      <c r="L286" s="3" t="s">
        <v>38</v>
      </c>
      <c r="M286" s="3">
        <v>1.07</v>
      </c>
      <c r="N286" s="3">
        <v>10.5</v>
      </c>
      <c r="O286" s="3">
        <v>98.5</v>
      </c>
      <c r="P286" s="3">
        <v>144</v>
      </c>
      <c r="Q286" s="8">
        <v>25000000</v>
      </c>
      <c r="R286" s="8">
        <v>23343242</v>
      </c>
      <c r="S286" s="8">
        <v>-378289</v>
      </c>
      <c r="T286" s="3">
        <v>486</v>
      </c>
      <c r="U286" s="3">
        <v>527</v>
      </c>
      <c r="V286" s="3"/>
      <c r="W286" s="8">
        <v>3674798</v>
      </c>
      <c r="X286" s="3" t="s">
        <v>160</v>
      </c>
      <c r="Y286" s="3" t="s">
        <v>161</v>
      </c>
      <c r="Z286" s="3" t="s">
        <v>162</v>
      </c>
      <c r="AA286" s="3" t="s">
        <v>163</v>
      </c>
      <c r="AB286" s="3"/>
      <c r="AC286" s="8">
        <v>246250</v>
      </c>
      <c r="AD286" s="8">
        <v>1291391.3778611911</v>
      </c>
      <c r="AE286" s="8">
        <v>1253599.6335564039</v>
      </c>
      <c r="AF286" s="8">
        <f>VALUE(SUBSTITUTE(LEFT(Z286, FIND(" ", Z286) - 1), ",", ""))</f>
        <v>1083623</v>
      </c>
      <c r="AG286" s="15">
        <f ca="1">(AF286/YEARFRAC(A286,TODAY())/P286)</f>
        <v>2118.1059421422988</v>
      </c>
      <c r="AI286" s="8">
        <f>VALUE(SUBSTITUTE(LEFT(X286, FIND(" ", X286) - 1), ",", ""))</f>
        <v>1095000</v>
      </c>
      <c r="AK286" s="20" t="str">
        <f>IF(AI286&gt;AC286, "YES","")</f>
        <v>YES</v>
      </c>
    </row>
    <row r="287" spans="1:37" x14ac:dyDescent="0.25">
      <c r="A287" s="5">
        <v>45496</v>
      </c>
      <c r="B287" s="3" t="s">
        <v>31</v>
      </c>
      <c r="C287" s="3">
        <v>40</v>
      </c>
      <c r="D287" s="3" t="s">
        <v>43</v>
      </c>
      <c r="E287" s="3" t="s">
        <v>33</v>
      </c>
      <c r="F287" s="3" t="s">
        <v>37</v>
      </c>
      <c r="G287" s="3" t="s">
        <v>35</v>
      </c>
      <c r="H287" s="3">
        <v>40</v>
      </c>
      <c r="I287" s="3" t="s">
        <v>43</v>
      </c>
      <c r="J287" s="3" t="s">
        <v>33</v>
      </c>
      <c r="K287" s="3" t="s">
        <v>34</v>
      </c>
      <c r="L287" s="3" t="s">
        <v>38</v>
      </c>
      <c r="M287" s="3">
        <v>5</v>
      </c>
      <c r="N287" s="3">
        <v>24.1</v>
      </c>
      <c r="O287" s="3">
        <v>13.6</v>
      </c>
      <c r="P287" s="3">
        <v>26</v>
      </c>
      <c r="Q287" s="8">
        <v>140000000</v>
      </c>
      <c r="R287" s="8">
        <v>27991185</v>
      </c>
      <c r="S287" s="8">
        <v>-444938</v>
      </c>
      <c r="T287" s="3">
        <v>38</v>
      </c>
      <c r="U287" s="3">
        <v>307</v>
      </c>
      <c r="V287" s="3"/>
      <c r="W287" s="8">
        <v>-145348</v>
      </c>
      <c r="X287" s="3" t="s">
        <v>798</v>
      </c>
      <c r="Y287" s="3" t="s">
        <v>799</v>
      </c>
      <c r="Z287" s="3" t="s">
        <v>800</v>
      </c>
      <c r="AA287" s="3" t="s">
        <v>801</v>
      </c>
      <c r="AB287" s="3"/>
      <c r="AC287" s="8">
        <v>190400</v>
      </c>
      <c r="AD287" s="8">
        <v>1710290.5691293641</v>
      </c>
      <c r="AE287" s="8">
        <v>1258561.1242282931</v>
      </c>
      <c r="AF287" s="8">
        <f>VALUE(SUBSTITUTE(LEFT(Z287, FIND(" ", Z287) - 1), ",", ""))</f>
        <v>1269450</v>
      </c>
      <c r="AG287" s="15">
        <f ca="1">(AF287/YEARFRAC(A287,TODAY())/P287)</f>
        <v>35437.5</v>
      </c>
      <c r="AI287" s="8">
        <f>VALUE(SUBSTITUTE(LEFT(X287, FIND(" ", X287) - 1), ",", ""))</f>
        <v>1354131</v>
      </c>
      <c r="AK287" s="20" t="str">
        <f>IF(AI287&gt;AC287, "YES","")</f>
        <v>YES</v>
      </c>
    </row>
    <row r="288" spans="1:37" x14ac:dyDescent="0.25">
      <c r="A288" s="5">
        <v>45324</v>
      </c>
      <c r="B288" s="3" t="s">
        <v>35</v>
      </c>
      <c r="C288" s="3">
        <v>38</v>
      </c>
      <c r="D288" s="3" t="s">
        <v>43</v>
      </c>
      <c r="E288" s="3" t="s">
        <v>33</v>
      </c>
      <c r="F288" s="3" t="s">
        <v>37</v>
      </c>
      <c r="G288" s="3" t="s">
        <v>58</v>
      </c>
      <c r="H288" s="3">
        <v>39</v>
      </c>
      <c r="I288" s="3" t="s">
        <v>43</v>
      </c>
      <c r="J288" s="3" t="s">
        <v>33</v>
      </c>
      <c r="K288" s="3" t="s">
        <v>34</v>
      </c>
      <c r="L288" s="3" t="s">
        <v>38</v>
      </c>
      <c r="M288" s="3">
        <v>0.99</v>
      </c>
      <c r="N288" s="3">
        <v>91.8</v>
      </c>
      <c r="O288" s="3">
        <v>98</v>
      </c>
      <c r="P288" s="3">
        <v>26.6</v>
      </c>
      <c r="Q288" s="8">
        <v>24763096</v>
      </c>
      <c r="R288" s="8">
        <v>25000000</v>
      </c>
      <c r="S288" s="8">
        <v>-1030561</v>
      </c>
      <c r="T288" s="3">
        <v>227</v>
      </c>
      <c r="U288" s="3">
        <v>312</v>
      </c>
      <c r="V288" s="3"/>
      <c r="W288" s="8">
        <v>-660445</v>
      </c>
      <c r="X288" s="3" t="s">
        <v>631</v>
      </c>
      <c r="Y288" s="3" t="s">
        <v>632</v>
      </c>
      <c r="Z288" s="3" t="s">
        <v>633</v>
      </c>
      <c r="AA288" s="3" t="s">
        <v>634</v>
      </c>
      <c r="AB288" s="3"/>
      <c r="AC288" s="8">
        <v>242678.34080000001</v>
      </c>
      <c r="AD288" s="8">
        <v>845264.14886680385</v>
      </c>
      <c r="AE288" s="8">
        <v>1304988.242974946</v>
      </c>
      <c r="AF288" s="8">
        <f>VALUE(SUBSTITUTE(LEFT(Z288, FIND(" ", Z288) - 1), ",", ""))</f>
        <v>810161</v>
      </c>
      <c r="AG288" s="15">
        <f ca="1">(AF288/YEARFRAC(A288,TODAY())/P288)</f>
        <v>16438.658114551745</v>
      </c>
      <c r="AI288" s="8">
        <f>VALUE(SUBSTITUTE(LEFT(X288, FIND(" ", X288) - 1), ",", ""))</f>
        <v>1014132</v>
      </c>
      <c r="AK288" s="20" t="str">
        <f>IF(AI288&gt;AC288, "YES","")</f>
        <v>YES</v>
      </c>
    </row>
    <row r="289" spans="1:37" x14ac:dyDescent="0.25">
      <c r="A289" s="5">
        <v>44636</v>
      </c>
      <c r="B289" s="3" t="s">
        <v>44</v>
      </c>
      <c r="C289" s="3">
        <v>36</v>
      </c>
      <c r="D289" s="3" t="s">
        <v>122</v>
      </c>
      <c r="E289" s="3" t="s">
        <v>33</v>
      </c>
      <c r="F289" s="3" t="s">
        <v>37</v>
      </c>
      <c r="G289" s="3" t="s">
        <v>58</v>
      </c>
      <c r="H289" s="3">
        <v>37</v>
      </c>
      <c r="I289" s="3" t="s">
        <v>68</v>
      </c>
      <c r="J289" s="3" t="s">
        <v>33</v>
      </c>
      <c r="K289" s="3" t="s">
        <v>34</v>
      </c>
      <c r="L289" s="3" t="s">
        <v>38</v>
      </c>
      <c r="M289" s="3">
        <v>0.54</v>
      </c>
      <c r="N289" s="3">
        <v>1028.9000000000001</v>
      </c>
      <c r="O289" s="3">
        <v>357.2</v>
      </c>
      <c r="P289" s="3">
        <v>261.8</v>
      </c>
      <c r="Q289" s="8">
        <v>2719926</v>
      </c>
      <c r="R289" s="8">
        <v>5000000</v>
      </c>
      <c r="S289" s="8">
        <v>-196365</v>
      </c>
      <c r="T289" s="3">
        <v>37</v>
      </c>
      <c r="U289" s="3">
        <v>569</v>
      </c>
      <c r="V289" s="3"/>
      <c r="W289" s="8">
        <v>-162833</v>
      </c>
      <c r="X289" s="3" t="s">
        <v>127</v>
      </c>
      <c r="Y289" s="3" t="s">
        <v>128</v>
      </c>
      <c r="Z289" s="3" t="s">
        <v>129</v>
      </c>
      <c r="AA289" s="3" t="s">
        <v>130</v>
      </c>
      <c r="AB289" s="3"/>
      <c r="AC289" s="8">
        <v>97155.756720000005</v>
      </c>
      <c r="AD289" s="8">
        <v>1307376.0887392201</v>
      </c>
      <c r="AE289" s="8">
        <v>1307376.0887392201</v>
      </c>
      <c r="AF289" s="8">
        <f>VALUE(SUBSTITUTE(LEFT(Z289, FIND(" ", Z289) - 1), ",", ""))</f>
        <v>1266166</v>
      </c>
      <c r="AG289" s="15">
        <f ca="1">(AF289/YEARFRAC(A289,TODAY())/P289)</f>
        <v>1296.4252864213443</v>
      </c>
      <c r="AI289" s="8">
        <f>VALUE(SUBSTITUTE(LEFT(X289, FIND(" ", X289) - 1), ",", ""))</f>
        <v>1273732</v>
      </c>
      <c r="AK289" s="20" t="str">
        <f>IF(AI289&gt;AC289, "YES","")</f>
        <v>YES</v>
      </c>
    </row>
    <row r="290" spans="1:37" x14ac:dyDescent="0.25">
      <c r="A290" s="5">
        <v>45265</v>
      </c>
      <c r="B290" s="3" t="s">
        <v>35</v>
      </c>
      <c r="C290" s="3">
        <v>38</v>
      </c>
      <c r="D290" s="3" t="s">
        <v>43</v>
      </c>
      <c r="E290" s="3" t="s">
        <v>33</v>
      </c>
      <c r="F290" s="3" t="s">
        <v>37</v>
      </c>
      <c r="G290" s="3" t="s">
        <v>58</v>
      </c>
      <c r="H290" s="3">
        <v>39</v>
      </c>
      <c r="I290" s="3" t="s">
        <v>43</v>
      </c>
      <c r="J290" s="3" t="s">
        <v>33</v>
      </c>
      <c r="K290" s="3" t="s">
        <v>34</v>
      </c>
      <c r="L290" s="3" t="s">
        <v>38</v>
      </c>
      <c r="M290" s="3">
        <v>1.02</v>
      </c>
      <c r="N290" s="3">
        <v>82.3</v>
      </c>
      <c r="O290" s="3">
        <v>137.6</v>
      </c>
      <c r="P290" s="3">
        <v>25.2</v>
      </c>
      <c r="Q290" s="8">
        <v>25000000</v>
      </c>
      <c r="R290" s="8">
        <v>24418488</v>
      </c>
      <c r="S290" s="8">
        <v>-1091105</v>
      </c>
      <c r="T290" s="3">
        <v>274</v>
      </c>
      <c r="U290" s="3">
        <v>361</v>
      </c>
      <c r="V290" s="3"/>
      <c r="W290" s="8">
        <v>-326181</v>
      </c>
      <c r="X290" s="3" t="s">
        <v>364</v>
      </c>
      <c r="Y290" s="3" t="s">
        <v>365</v>
      </c>
      <c r="Z290" s="3" t="s">
        <v>366</v>
      </c>
      <c r="AA290" s="3" t="s">
        <v>367</v>
      </c>
      <c r="AB290" s="3"/>
      <c r="AC290" s="8">
        <v>344000</v>
      </c>
      <c r="AD290" s="8">
        <v>794099.78698644787</v>
      </c>
      <c r="AE290" s="8">
        <v>1314619.88212264</v>
      </c>
      <c r="AF290" s="8">
        <f>VALUE(SUBSTITUTE(LEFT(Z290, FIND(" ", Z290) - 1), ",", ""))</f>
        <v>755678</v>
      </c>
      <c r="AG290" s="15">
        <f ca="1">(AF290/YEARFRAC(A290,TODAY())/P290)</f>
        <v>14910.773480662985</v>
      </c>
      <c r="AI290" s="8">
        <f>VALUE(SUBSTITUTE(LEFT(X290, FIND(" ", X290) - 1), ",", ""))</f>
        <v>1009498</v>
      </c>
      <c r="AK290" s="20" t="str">
        <f>IF(AI290&gt;AC290, "YES","")</f>
        <v>YES</v>
      </c>
    </row>
    <row r="291" spans="1:37" x14ac:dyDescent="0.25">
      <c r="A291" s="5">
        <v>45714</v>
      </c>
      <c r="B291" s="3" t="s">
        <v>35</v>
      </c>
      <c r="C291" s="3">
        <v>40</v>
      </c>
      <c r="D291" s="3" t="s">
        <v>43</v>
      </c>
      <c r="E291" s="3" t="s">
        <v>33</v>
      </c>
      <c r="F291" s="3" t="s">
        <v>37</v>
      </c>
      <c r="G291" s="3" t="s">
        <v>58</v>
      </c>
      <c r="H291" s="3">
        <v>42</v>
      </c>
      <c r="I291" s="3" t="s">
        <v>43</v>
      </c>
      <c r="J291" s="3" t="s">
        <v>33</v>
      </c>
      <c r="K291" s="3" t="s">
        <v>34</v>
      </c>
      <c r="L291" s="3" t="s">
        <v>38</v>
      </c>
      <c r="M291" s="3">
        <v>0.97</v>
      </c>
      <c r="N291" s="3">
        <v>68.900000000000006</v>
      </c>
      <c r="O291" s="3">
        <v>78.2</v>
      </c>
      <c r="P291" s="3">
        <v>35.9</v>
      </c>
      <c r="Q291" s="8">
        <v>25000000</v>
      </c>
      <c r="R291" s="8">
        <v>25762148</v>
      </c>
      <c r="S291" s="8">
        <v>-584616</v>
      </c>
      <c r="T291" s="3">
        <v>225</v>
      </c>
      <c r="U291" s="3">
        <v>281</v>
      </c>
      <c r="V291" s="3"/>
      <c r="W291" s="8">
        <v>379637</v>
      </c>
      <c r="X291" s="3" t="s">
        <v>974</v>
      </c>
      <c r="Y291" s="3" t="s">
        <v>975</v>
      </c>
      <c r="Z291" s="3" t="s">
        <v>976</v>
      </c>
      <c r="AA291" s="3" t="s">
        <v>977</v>
      </c>
      <c r="AB291" s="3"/>
      <c r="AC291" s="8">
        <v>195500</v>
      </c>
      <c r="AD291" s="8">
        <v>976333.37470225897</v>
      </c>
      <c r="AE291" s="8">
        <v>1325503.585770804</v>
      </c>
      <c r="AF291" s="8">
        <f>VALUE(SUBSTITUTE(LEFT(Z291, FIND(" ", Z291) - 1), ",", ""))</f>
        <v>214532</v>
      </c>
      <c r="AG291" s="15">
        <f ca="1">(AF291/YEARFRAC(A291,TODAY())/P291)</f>
        <v>7601.7520202368187</v>
      </c>
      <c r="AI291" s="8">
        <f>VALUE(SUBSTITUTE(LEFT(X291, FIND(" ", X291) - 1), ",", ""))</f>
        <v>399647</v>
      </c>
      <c r="AK291" s="20" t="str">
        <f>IF(AI291&gt;AC291, "YES","")</f>
        <v>YES</v>
      </c>
    </row>
    <row r="292" spans="1:37" hidden="1" x14ac:dyDescent="0.25">
      <c r="A292" s="5">
        <v>45324</v>
      </c>
      <c r="B292" s="3" t="s">
        <v>58</v>
      </c>
      <c r="C292" s="3">
        <v>40</v>
      </c>
      <c r="D292" s="3" t="s">
        <v>43</v>
      </c>
      <c r="E292" s="3" t="s">
        <v>33</v>
      </c>
      <c r="F292" s="3" t="s">
        <v>34</v>
      </c>
      <c r="G292" s="3" t="s">
        <v>35</v>
      </c>
      <c r="H292" s="3">
        <v>39</v>
      </c>
      <c r="I292" s="3" t="s">
        <v>43</v>
      </c>
      <c r="J292" s="3" t="s">
        <v>33</v>
      </c>
      <c r="K292" s="3" t="s">
        <v>37</v>
      </c>
      <c r="L292" s="3" t="s">
        <v>118</v>
      </c>
      <c r="M292" s="3">
        <v>0.75</v>
      </c>
      <c r="N292" s="3">
        <v>-6.6</v>
      </c>
      <c r="O292" s="3">
        <v>288.3</v>
      </c>
      <c r="P292" s="3">
        <v>81</v>
      </c>
      <c r="Q292" s="8">
        <v>29949138</v>
      </c>
      <c r="R292" s="8">
        <v>40000000</v>
      </c>
      <c r="S292" s="8">
        <v>-2309662</v>
      </c>
      <c r="T292" s="3">
        <v>330</v>
      </c>
      <c r="U292" s="3">
        <v>252</v>
      </c>
      <c r="V292" s="3"/>
      <c r="W292" s="8">
        <v>-1816429</v>
      </c>
      <c r="X292" s="3" t="s">
        <v>621</v>
      </c>
      <c r="Y292" s="3" t="s">
        <v>622</v>
      </c>
      <c r="Z292" s="3" t="s">
        <v>623</v>
      </c>
      <c r="AA292" s="3"/>
      <c r="AB292" s="3"/>
      <c r="AC292" s="8">
        <v>863433.64854000008</v>
      </c>
      <c r="AD292" s="22">
        <v>-86202.638193018734</v>
      </c>
      <c r="AE292" s="23">
        <v>1328236.916146195</v>
      </c>
      <c r="AF292" s="21">
        <f>VALUE(SUBSTITUTE(LEFT(Z292, FIND(" ", Z292) - 1), ",", ""))</f>
        <v>-335663</v>
      </c>
      <c r="AG292" s="15">
        <f ca="1">(AF292/YEARFRAC(A292,TODAY())/P292)</f>
        <v>-2236.6350158254204</v>
      </c>
      <c r="AH292" s="9" t="s">
        <v>1238</v>
      </c>
      <c r="AI292" s="8">
        <f>VALUE(SUBSTITUTE(LEFT(X292, FIND(" ", X292) - 1), ",", ""))</f>
        <v>595506</v>
      </c>
      <c r="AK292" s="20" t="str">
        <f>IF(AI292&gt;AC292, "YES","")</f>
        <v/>
      </c>
    </row>
    <row r="293" spans="1:37" x14ac:dyDescent="0.25">
      <c r="A293" s="5">
        <v>45688</v>
      </c>
      <c r="B293" s="3" t="s">
        <v>58</v>
      </c>
      <c r="C293" s="3">
        <v>43</v>
      </c>
      <c r="D293" s="3" t="s">
        <v>43</v>
      </c>
      <c r="E293" s="3" t="s">
        <v>33</v>
      </c>
      <c r="F293" s="3" t="s">
        <v>34</v>
      </c>
      <c r="G293" s="3" t="s">
        <v>35</v>
      </c>
      <c r="H293" s="3">
        <v>40</v>
      </c>
      <c r="I293" s="3" t="s">
        <v>43</v>
      </c>
      <c r="J293" s="3" t="s">
        <v>33</v>
      </c>
      <c r="K293" s="3" t="s">
        <v>37</v>
      </c>
      <c r="L293" s="3" t="s">
        <v>38</v>
      </c>
      <c r="M293" s="3">
        <v>0.81</v>
      </c>
      <c r="N293" s="3">
        <v>12.7</v>
      </c>
      <c r="O293" s="3">
        <v>30.5</v>
      </c>
      <c r="P293" s="3">
        <v>84.2</v>
      </c>
      <c r="Q293" s="8">
        <v>20128752</v>
      </c>
      <c r="R293" s="8">
        <v>25000000</v>
      </c>
      <c r="S293" s="8">
        <v>-915199</v>
      </c>
      <c r="T293" s="3">
        <v>297</v>
      </c>
      <c r="U293" s="3">
        <v>229</v>
      </c>
      <c r="V293" s="3"/>
      <c r="W293" s="8">
        <v>153514</v>
      </c>
      <c r="X293" s="3" t="s">
        <v>951</v>
      </c>
      <c r="Y293" s="3" t="s">
        <v>952</v>
      </c>
      <c r="Z293" s="3" t="s">
        <v>953</v>
      </c>
      <c r="AA293" s="3"/>
      <c r="AB293" s="3"/>
      <c r="AC293" s="25">
        <v>61392.693600000013</v>
      </c>
      <c r="AD293" s="25">
        <v>695798.49136098567</v>
      </c>
      <c r="AE293" s="26">
        <v>1332740.1660418501</v>
      </c>
      <c r="AF293" s="26">
        <f>VALUE(SUBSTITUTE(LEFT(Z293, FIND(" ", Z293) - 1), ",", ""))</f>
        <v>-208773</v>
      </c>
      <c r="AG293" s="27">
        <f ca="1">(AF293/YEARFRAC(A293,TODAY())/P293)</f>
        <v>-2888.7254110647327</v>
      </c>
      <c r="AH293" s="24" t="s">
        <v>1238</v>
      </c>
      <c r="AI293" s="25">
        <f>VALUE(SUBSTITUTE(LEFT(X293, FIND(" ", X293) - 1), ",", ""))</f>
        <v>25278</v>
      </c>
      <c r="AJ293" s="24"/>
      <c r="AK293" s="24" t="str">
        <f>IF(AI293&gt;AC293, "YES","")</f>
        <v/>
      </c>
    </row>
    <row r="294" spans="1:37" x14ac:dyDescent="0.25">
      <c r="A294" s="5">
        <v>44397</v>
      </c>
      <c r="B294" s="3" t="s">
        <v>58</v>
      </c>
      <c r="C294" s="3">
        <v>33</v>
      </c>
      <c r="D294" s="3" t="s">
        <v>68</v>
      </c>
      <c r="E294" s="3" t="s">
        <v>33</v>
      </c>
      <c r="F294" s="3" t="s">
        <v>34</v>
      </c>
      <c r="G294" s="3" t="s">
        <v>35</v>
      </c>
      <c r="H294" s="3">
        <v>34</v>
      </c>
      <c r="I294" s="3" t="s">
        <v>36</v>
      </c>
      <c r="J294" s="3" t="s">
        <v>33</v>
      </c>
      <c r="K294" s="3" t="s">
        <v>37</v>
      </c>
      <c r="L294" s="3" t="s">
        <v>38</v>
      </c>
      <c r="M294" s="3">
        <v>0.85</v>
      </c>
      <c r="N294" s="3">
        <v>749.7</v>
      </c>
      <c r="O294" s="3">
        <v>337</v>
      </c>
      <c r="P294" s="3">
        <v>126</v>
      </c>
      <c r="Q294" s="8">
        <v>5000000</v>
      </c>
      <c r="R294" s="8">
        <v>5858936</v>
      </c>
      <c r="S294" s="8">
        <v>-1282744</v>
      </c>
      <c r="T294" s="3">
        <v>638</v>
      </c>
      <c r="U294" s="3">
        <v>-95</v>
      </c>
      <c r="V294" s="3"/>
      <c r="W294" s="8">
        <v>-1282744</v>
      </c>
      <c r="X294" s="3" t="s">
        <v>69</v>
      </c>
      <c r="Y294" s="3" t="s">
        <v>70</v>
      </c>
      <c r="Z294" s="3" t="s">
        <v>71</v>
      </c>
      <c r="AA294" s="3" t="s">
        <v>42</v>
      </c>
      <c r="AB294" s="3"/>
      <c r="AC294" s="8">
        <v>168500</v>
      </c>
      <c r="AD294" s="8">
        <v>1336799.6322737851</v>
      </c>
      <c r="AE294" s="8">
        <v>1336799.6322737851</v>
      </c>
      <c r="AF294" s="8">
        <f>VALUE(SUBSTITUTE(LEFT(Z294, FIND(" ", Z294) - 1), ",", ""))</f>
        <v>1404929</v>
      </c>
      <c r="AG294" s="15">
        <f ca="1">(AF294/YEARFRAC(A294,TODAY())/P294)</f>
        <v>2542.1677372659005</v>
      </c>
      <c r="AI294" s="8">
        <f>VALUE(SUBSTITUTE(LEFT(X294, FIND(" ", X294) - 1), ",", ""))</f>
        <v>1406244</v>
      </c>
      <c r="AK294" s="20" t="str">
        <f>IF(AI294&gt;AC294, "YES","")</f>
        <v>YES</v>
      </c>
    </row>
    <row r="295" spans="1:37" x14ac:dyDescent="0.25">
      <c r="A295" s="5">
        <v>45561</v>
      </c>
      <c r="B295" s="20" t="s">
        <v>58</v>
      </c>
      <c r="C295" s="20">
        <v>41</v>
      </c>
      <c r="D295" s="20" t="s">
        <v>43</v>
      </c>
      <c r="E295" s="20" t="s">
        <v>33</v>
      </c>
      <c r="F295" s="20" t="s">
        <v>37</v>
      </c>
      <c r="G295" s="20" t="s">
        <v>58</v>
      </c>
      <c r="H295" s="20">
        <v>43</v>
      </c>
      <c r="I295" s="20" t="s">
        <v>43</v>
      </c>
      <c r="J295" s="20" t="s">
        <v>33</v>
      </c>
      <c r="K295" s="20" t="s">
        <v>34</v>
      </c>
      <c r="L295" s="20" t="s">
        <v>38</v>
      </c>
      <c r="M295" s="20">
        <v>1</v>
      </c>
      <c r="N295" s="20">
        <v>63.7</v>
      </c>
      <c r="O295" s="20">
        <v>22.6</v>
      </c>
      <c r="P295" s="20">
        <v>75.900000000000006</v>
      </c>
      <c r="Q295" s="8">
        <v>25000000</v>
      </c>
      <c r="R295" s="8">
        <v>25037659</v>
      </c>
      <c r="S295" s="8">
        <v>-239318</v>
      </c>
      <c r="T295" s="20">
        <v>291</v>
      </c>
      <c r="U295" s="20">
        <v>349</v>
      </c>
      <c r="V295" s="20"/>
      <c r="W295" s="8">
        <v>567930</v>
      </c>
      <c r="X295" s="20" t="s">
        <v>856</v>
      </c>
      <c r="Y295" s="20" t="s">
        <v>857</v>
      </c>
      <c r="Z295" s="20" t="s">
        <v>858</v>
      </c>
      <c r="AA295" s="20" t="s">
        <v>859</v>
      </c>
      <c r="AB295" s="3"/>
      <c r="AC295" s="8">
        <v>56500.000000000007</v>
      </c>
      <c r="AD295" s="8">
        <v>1492523.2733199189</v>
      </c>
      <c r="AE295" s="8">
        <v>1349222.1677974069</v>
      </c>
      <c r="AF295" s="8">
        <f>VALUE(SUBSTITUTE(LEFT(Z295, FIND(" ", Z295) - 1), ",", ""))</f>
        <v>453256</v>
      </c>
      <c r="AG295" s="15">
        <f ca="1">(AF295/YEARFRAC(A295,TODAY())/P295)</f>
        <v>4964.9672749180727</v>
      </c>
      <c r="AI295" s="8">
        <f>VALUE(SUBSTITUTE(LEFT(X295, FIND(" ", X295) - 1), ",", ""))</f>
        <v>787142</v>
      </c>
      <c r="AK295" s="20" t="str">
        <f>IF(AI295&gt;AC295, "YES","")</f>
        <v>YES</v>
      </c>
    </row>
    <row r="296" spans="1:37" x14ac:dyDescent="0.25">
      <c r="A296" s="17">
        <v>45870</v>
      </c>
      <c r="B296" s="12" t="s">
        <v>44</v>
      </c>
      <c r="C296" s="12">
        <v>42</v>
      </c>
      <c r="D296" s="12" t="s">
        <v>43</v>
      </c>
      <c r="E296" s="12" t="s">
        <v>33</v>
      </c>
      <c r="F296" s="12" t="s">
        <v>37</v>
      </c>
      <c r="G296" s="12" t="s">
        <v>58</v>
      </c>
      <c r="H296" s="12">
        <v>43</v>
      </c>
      <c r="I296" s="12" t="s">
        <v>43</v>
      </c>
      <c r="J296" s="12" t="s">
        <v>33</v>
      </c>
      <c r="K296" s="12" t="s">
        <v>34</v>
      </c>
      <c r="L296" s="12" t="s">
        <v>38</v>
      </c>
      <c r="M296" s="12">
        <v>5.3</v>
      </c>
      <c r="N296" s="12">
        <v>2</v>
      </c>
      <c r="O296" s="12">
        <v>16.100000000000001</v>
      </c>
      <c r="P296" s="12">
        <v>203</v>
      </c>
      <c r="Q296" s="16">
        <v>212100000</v>
      </c>
      <c r="R296" s="16">
        <v>40000000</v>
      </c>
      <c r="S296" s="16">
        <v>-1786498</v>
      </c>
      <c r="T296" s="12">
        <v>52</v>
      </c>
      <c r="U296" s="12">
        <v>326</v>
      </c>
      <c r="V296" s="12"/>
      <c r="W296" s="16">
        <v>905046</v>
      </c>
      <c r="X296" s="12" t="s">
        <v>1174</v>
      </c>
      <c r="Y296" s="12" t="s">
        <v>1175</v>
      </c>
      <c r="Z296" s="12" t="s">
        <v>1176</v>
      </c>
      <c r="AA296" s="12"/>
      <c r="AB296" s="3"/>
      <c r="AC296" s="8">
        <v>341481</v>
      </c>
      <c r="AD296" s="8">
        <v>881944.31211498845</v>
      </c>
      <c r="AE296" s="8">
        <v>1349308.210154312</v>
      </c>
      <c r="AF296" s="8">
        <f>VALUE(SUBSTITUTE(LEFT(Z296, FIND(" ", Z296) - 1), ",", ""))</f>
        <v>143205</v>
      </c>
      <c r="AG296" s="15">
        <f ca="1">(AF296/YEARFRAC(A296,TODAY())/P296)</f>
        <v>1984.0594211822661</v>
      </c>
      <c r="AI296" s="8">
        <f>VALUE(SUBSTITUTE(LEFT(X296, FIND(" ", X296) - 1), ",", ""))</f>
        <v>242226</v>
      </c>
      <c r="AK296" s="20" t="str">
        <f>IF(AI296&gt;AC296, "YES","")</f>
        <v/>
      </c>
    </row>
    <row r="297" spans="1:37" x14ac:dyDescent="0.25">
      <c r="A297" s="5">
        <v>45561</v>
      </c>
      <c r="B297" s="20" t="s">
        <v>58</v>
      </c>
      <c r="C297" s="20">
        <v>42</v>
      </c>
      <c r="D297" s="20" t="s">
        <v>43</v>
      </c>
      <c r="E297" s="20" t="s">
        <v>33</v>
      </c>
      <c r="F297" s="20" t="s">
        <v>37</v>
      </c>
      <c r="G297" s="20" t="s">
        <v>58</v>
      </c>
      <c r="H297" s="20">
        <v>43</v>
      </c>
      <c r="I297" s="20" t="s">
        <v>43</v>
      </c>
      <c r="J297" s="20" t="s">
        <v>33</v>
      </c>
      <c r="K297" s="20" t="s">
        <v>34</v>
      </c>
      <c r="L297" s="20" t="s">
        <v>38</v>
      </c>
      <c r="M297" s="20">
        <v>1</v>
      </c>
      <c r="N297" s="20">
        <v>46.1</v>
      </c>
      <c r="O297" s="20">
        <v>24.3</v>
      </c>
      <c r="P297" s="20">
        <v>19.100000000000001</v>
      </c>
      <c r="Q297" s="8">
        <v>40000000</v>
      </c>
      <c r="R297" s="8">
        <v>40033905</v>
      </c>
      <c r="S297" s="8">
        <v>-436887</v>
      </c>
      <c r="T297" s="20">
        <v>308</v>
      </c>
      <c r="U297" s="20">
        <v>349</v>
      </c>
      <c r="V297" s="20"/>
      <c r="W297" s="8">
        <v>853860</v>
      </c>
      <c r="X297" s="20" t="s">
        <v>879</v>
      </c>
      <c r="Y297" s="20" t="s">
        <v>880</v>
      </c>
      <c r="Z297" s="20" t="s">
        <v>881</v>
      </c>
      <c r="AA297" s="20" t="s">
        <v>882</v>
      </c>
      <c r="AB297" s="3"/>
      <c r="AC297" s="8">
        <v>97200</v>
      </c>
      <c r="AD297" s="8">
        <v>1481509.258533882</v>
      </c>
      <c r="AE297" s="8">
        <v>1371213.5773908</v>
      </c>
      <c r="AF297" s="8">
        <f>VALUE(SUBSTITUTE(LEFT(Z297, FIND(" ", Z297) - 1), ",", ""))</f>
        <v>575878</v>
      </c>
      <c r="AG297" s="15">
        <f ca="1">(AF297/YEARFRAC(A297,TODAY())/P297)</f>
        <v>25067.540476161688</v>
      </c>
      <c r="AI297" s="8">
        <f>VALUE(SUBSTITUTE(LEFT(X297, FIND(" ", X297) - 1), ",", ""))</f>
        <v>1096040</v>
      </c>
      <c r="AK297" s="20" t="str">
        <f>IF(AI297&gt;AC297, "YES","")</f>
        <v>YES</v>
      </c>
    </row>
    <row r="298" spans="1:37" x14ac:dyDescent="0.25">
      <c r="A298" s="5">
        <v>44701</v>
      </c>
      <c r="B298" s="20" t="s">
        <v>31</v>
      </c>
      <c r="C298" s="20">
        <v>35</v>
      </c>
      <c r="D298" s="20" t="s">
        <v>43</v>
      </c>
      <c r="E298" s="20" t="s">
        <v>33</v>
      </c>
      <c r="F298" s="20" t="s">
        <v>37</v>
      </c>
      <c r="G298" s="20" t="s">
        <v>31</v>
      </c>
      <c r="H298" s="20">
        <v>37</v>
      </c>
      <c r="I298" s="20" t="s">
        <v>32</v>
      </c>
      <c r="J298" s="20" t="s">
        <v>33</v>
      </c>
      <c r="K298" s="20" t="s">
        <v>34</v>
      </c>
      <c r="L298" s="20" t="s">
        <v>38</v>
      </c>
      <c r="M298" s="20">
        <v>5.75</v>
      </c>
      <c r="N298" s="20">
        <v>2.7</v>
      </c>
      <c r="O298" s="20">
        <v>30.7</v>
      </c>
      <c r="P298" s="20">
        <v>103.5</v>
      </c>
      <c r="Q298" s="8">
        <v>70000000</v>
      </c>
      <c r="R298" s="8">
        <v>12163983</v>
      </c>
      <c r="S298" s="8">
        <v>-1957209</v>
      </c>
      <c r="T298" s="20">
        <v>72</v>
      </c>
      <c r="U298" s="20">
        <v>423</v>
      </c>
      <c r="V298" s="20"/>
      <c r="W298" s="8">
        <v>-289361</v>
      </c>
      <c r="X298" s="20" t="s">
        <v>167</v>
      </c>
      <c r="Y298" s="20" t="s">
        <v>168</v>
      </c>
      <c r="Z298" s="20" t="s">
        <v>169</v>
      </c>
      <c r="AA298" s="20" t="s">
        <v>42</v>
      </c>
      <c r="AB298" s="3"/>
      <c r="AC298" s="8">
        <v>214900</v>
      </c>
      <c r="AD298" s="8">
        <v>551974.279281314</v>
      </c>
      <c r="AE298" s="8">
        <v>1423762.435028712</v>
      </c>
      <c r="AF298" s="8">
        <f>VALUE(SUBSTITUTE(LEFT(Z298, FIND(" ", Z298) - 1), ",", ""))</f>
        <v>766683</v>
      </c>
      <c r="AG298" s="15">
        <f ca="1">(AF298/YEARFRAC(A298,TODAY())/P298)</f>
        <v>2085.0066288200701</v>
      </c>
      <c r="AI298" s="8">
        <f>VALUE(SUBSTITUTE(LEFT(X298, FIND(" ", X298) - 1), ",", ""))</f>
        <v>766707</v>
      </c>
      <c r="AK298" s="20" t="str">
        <f>IF(AI298&gt;AC298, "YES","")</f>
        <v>YES</v>
      </c>
    </row>
    <row r="299" spans="1:37" x14ac:dyDescent="0.25">
      <c r="A299" s="5">
        <v>44397</v>
      </c>
      <c r="B299" s="20" t="s">
        <v>31</v>
      </c>
      <c r="C299" s="20">
        <v>35</v>
      </c>
      <c r="D299" s="20" t="s">
        <v>32</v>
      </c>
      <c r="E299" s="20" t="s">
        <v>33</v>
      </c>
      <c r="F299" s="20" t="s">
        <v>34</v>
      </c>
      <c r="G299" s="20" t="s">
        <v>35</v>
      </c>
      <c r="H299" s="20">
        <v>34</v>
      </c>
      <c r="I299" s="20" t="s">
        <v>36</v>
      </c>
      <c r="J299" s="20" t="s">
        <v>33</v>
      </c>
      <c r="K299" s="20" t="s">
        <v>37</v>
      </c>
      <c r="L299" s="20" t="s">
        <v>38</v>
      </c>
      <c r="M299" s="20">
        <v>3.1</v>
      </c>
      <c r="N299" s="20">
        <v>217.9</v>
      </c>
      <c r="O299" s="20">
        <v>33.4</v>
      </c>
      <c r="P299" s="20">
        <v>635.1</v>
      </c>
      <c r="Q299" s="8">
        <v>15000000</v>
      </c>
      <c r="R299" s="8">
        <v>4833121</v>
      </c>
      <c r="S299" s="8">
        <v>-1369514</v>
      </c>
      <c r="T299" s="20">
        <v>187</v>
      </c>
      <c r="U299" s="20">
        <v>-95</v>
      </c>
      <c r="V299" s="20"/>
      <c r="W299" s="8">
        <v>-1369514</v>
      </c>
      <c r="X299" s="20" t="s">
        <v>39</v>
      </c>
      <c r="Y299" s="20" t="s">
        <v>40</v>
      </c>
      <c r="Z299" s="20" t="s">
        <v>41</v>
      </c>
      <c r="AA299" s="20" t="s">
        <v>42</v>
      </c>
      <c r="AB299" s="3"/>
      <c r="AC299" s="8">
        <v>50099.999999999993</v>
      </c>
      <c r="AD299" s="8">
        <v>1442390.8125749491</v>
      </c>
      <c r="AE299" s="8">
        <v>1442390.8125749491</v>
      </c>
      <c r="AF299" s="8">
        <f>VALUE(SUBSTITUTE(LEFT(Z299, FIND(" ", Z299) - 1), ",", ""))</f>
        <v>1631621</v>
      </c>
      <c r="AG299" s="15">
        <f ca="1">(AF299/YEARFRAC(A299,TODAY())/P299)</f>
        <v>585.73010249367053</v>
      </c>
      <c r="AI299" s="8">
        <f>VALUE(SUBSTITUTE(LEFT(X299, FIND(" ", X299) - 1), ",", ""))</f>
        <v>1634336</v>
      </c>
      <c r="AK299" s="20" t="str">
        <f>IF(AI299&gt;AC299, "YES","")</f>
        <v>YES</v>
      </c>
    </row>
    <row r="300" spans="1:37" x14ac:dyDescent="0.25">
      <c r="A300" s="17">
        <v>45726</v>
      </c>
      <c r="B300" s="12" t="s">
        <v>31</v>
      </c>
      <c r="C300" s="12">
        <v>43</v>
      </c>
      <c r="D300" s="12" t="s">
        <v>32</v>
      </c>
      <c r="E300" s="12" t="s">
        <v>33</v>
      </c>
      <c r="F300" s="12" t="s">
        <v>34</v>
      </c>
      <c r="G300" s="12" t="s">
        <v>31</v>
      </c>
      <c r="H300" s="12">
        <v>41</v>
      </c>
      <c r="I300" s="12" t="s">
        <v>43</v>
      </c>
      <c r="J300" s="12" t="s">
        <v>33</v>
      </c>
      <c r="K300" s="12" t="s">
        <v>37</v>
      </c>
      <c r="L300" s="12" t="s">
        <v>38</v>
      </c>
      <c r="M300" s="12">
        <v>0.18</v>
      </c>
      <c r="N300" s="12">
        <v>10.8</v>
      </c>
      <c r="O300" s="12">
        <v>54</v>
      </c>
      <c r="P300" s="12">
        <v>603.29999999999995</v>
      </c>
      <c r="Q300" s="16">
        <v>15000000</v>
      </c>
      <c r="R300" s="16">
        <v>82700000</v>
      </c>
      <c r="S300" s="16">
        <v>-2275997</v>
      </c>
      <c r="T300" s="12">
        <v>218</v>
      </c>
      <c r="U300" s="12">
        <v>37</v>
      </c>
      <c r="V300" s="12"/>
      <c r="W300" s="16">
        <v>-360911</v>
      </c>
      <c r="X300" s="12" t="s">
        <v>1110</v>
      </c>
      <c r="Y300" s="12" t="s">
        <v>1111</v>
      </c>
      <c r="Z300" s="12" t="s">
        <v>1112</v>
      </c>
      <c r="AA300" s="12" t="s">
        <v>1113</v>
      </c>
      <c r="AB300" s="3"/>
      <c r="AC300" s="8">
        <v>81000</v>
      </c>
      <c r="AD300" s="8">
        <v>406214.40109514049</v>
      </c>
      <c r="AE300" s="8">
        <v>1460970.2231496191</v>
      </c>
      <c r="AF300" s="8">
        <f>VALUE(SUBSTITUTE(LEFT(Z300, FIND(" ", Z300) - 1), ",", ""))</f>
        <v>321359</v>
      </c>
      <c r="AG300" s="15">
        <f ca="1">(AF300/YEARFRAC(A300,TODAY())/P300)</f>
        <v>712.8651154708582</v>
      </c>
      <c r="AI300" s="8">
        <f>VALUE(SUBSTITUTE(LEFT(X300, FIND(" ", X300) - 1), ",", ""))</f>
        <v>1031615</v>
      </c>
      <c r="AK300" s="20" t="str">
        <f>IF(AI300&gt;AC300, "YES","")</f>
        <v>YES</v>
      </c>
    </row>
    <row r="301" spans="1:37" x14ac:dyDescent="0.25">
      <c r="A301" s="5">
        <v>44980</v>
      </c>
      <c r="B301" s="20" t="s">
        <v>58</v>
      </c>
      <c r="C301" s="20">
        <v>39</v>
      </c>
      <c r="D301" s="20" t="s">
        <v>43</v>
      </c>
      <c r="E301" s="20" t="s">
        <v>33</v>
      </c>
      <c r="F301" s="20" t="s">
        <v>34</v>
      </c>
      <c r="G301" s="20" t="s">
        <v>35</v>
      </c>
      <c r="H301" s="20">
        <v>38</v>
      </c>
      <c r="I301" s="20" t="s">
        <v>36</v>
      </c>
      <c r="J301" s="20" t="s">
        <v>33</v>
      </c>
      <c r="K301" s="20" t="s">
        <v>37</v>
      </c>
      <c r="L301" s="20" t="s">
        <v>38</v>
      </c>
      <c r="M301" s="20">
        <v>0.68</v>
      </c>
      <c r="N301" s="20">
        <v>261.3</v>
      </c>
      <c r="O301" s="20">
        <v>52</v>
      </c>
      <c r="P301" s="20">
        <v>112.6</v>
      </c>
      <c r="Q301" s="8">
        <v>23844984</v>
      </c>
      <c r="R301" s="8">
        <v>35000000</v>
      </c>
      <c r="S301" s="8">
        <v>-5491392</v>
      </c>
      <c r="T301" s="20">
        <v>451</v>
      </c>
      <c r="U301" s="20">
        <v>129</v>
      </c>
      <c r="V301" s="20"/>
      <c r="W301" s="8">
        <v>-4239855</v>
      </c>
      <c r="X301" s="20" t="s">
        <v>269</v>
      </c>
      <c r="Y301" s="20" t="s">
        <v>270</v>
      </c>
      <c r="Z301" s="20" t="s">
        <v>271</v>
      </c>
      <c r="AA301" s="20" t="s">
        <v>272</v>
      </c>
      <c r="AB301" s="3"/>
      <c r="AC301" s="8">
        <v>123993.91680000001</v>
      </c>
      <c r="AD301" s="8">
        <v>3008085.8556123199</v>
      </c>
      <c r="AE301" s="8">
        <v>1505246.2814962419</v>
      </c>
      <c r="AF301" s="8">
        <f>VALUE(SUBSTITUTE(LEFT(Z301, FIND(" ", Z301) - 1), ",", ""))</f>
        <v>2019749</v>
      </c>
      <c r="AG301" s="15">
        <f ca="1">(AF301/YEARFRAC(A301,TODAY())/P301)</f>
        <v>6418.9431792901569</v>
      </c>
      <c r="AI301" s="8">
        <f>VALUE(SUBSTITUTE(LEFT(X301, FIND(" ", X301) - 1), ",", ""))</f>
        <v>2019749</v>
      </c>
      <c r="AK301" s="20" t="str">
        <f>IF(AI301&gt;AC301, "YES","")</f>
        <v>YES</v>
      </c>
    </row>
    <row r="302" spans="1:37" x14ac:dyDescent="0.25">
      <c r="A302" s="5">
        <v>45688</v>
      </c>
      <c r="B302" s="20" t="s">
        <v>58</v>
      </c>
      <c r="C302" s="20">
        <v>43</v>
      </c>
      <c r="D302" s="20" t="s">
        <v>43</v>
      </c>
      <c r="E302" s="20" t="s">
        <v>33</v>
      </c>
      <c r="F302" s="20" t="s">
        <v>34</v>
      </c>
      <c r="G302" s="20" t="s">
        <v>35</v>
      </c>
      <c r="H302" s="20">
        <v>41</v>
      </c>
      <c r="I302" s="20" t="s">
        <v>43</v>
      </c>
      <c r="J302" s="20" t="s">
        <v>33</v>
      </c>
      <c r="K302" s="20" t="s">
        <v>37</v>
      </c>
      <c r="L302" s="20" t="s">
        <v>118</v>
      </c>
      <c r="M302" s="20">
        <v>0.8</v>
      </c>
      <c r="N302" s="20">
        <v>-11</v>
      </c>
      <c r="O302" s="20">
        <v>29.2</v>
      </c>
      <c r="P302" s="20">
        <v>326.2</v>
      </c>
      <c r="Q302" s="8">
        <v>31836422</v>
      </c>
      <c r="R302" s="8">
        <v>40000000</v>
      </c>
      <c r="S302" s="8">
        <v>-1721415</v>
      </c>
      <c r="T302" s="20">
        <v>297</v>
      </c>
      <c r="U302" s="20">
        <v>245</v>
      </c>
      <c r="V302" s="20"/>
      <c r="W302" s="8">
        <v>-31097</v>
      </c>
      <c r="X302" s="20" t="s">
        <v>948</v>
      </c>
      <c r="Y302" s="20" t="s">
        <v>949</v>
      </c>
      <c r="Z302" s="20" t="s">
        <v>950</v>
      </c>
      <c r="AA302" s="20"/>
      <c r="AB302" s="3"/>
      <c r="AC302" s="25">
        <v>92962.352239999993</v>
      </c>
      <c r="AD302" s="25">
        <v>322700.75944038288</v>
      </c>
      <c r="AE302" s="26">
        <v>1532000.00551178</v>
      </c>
      <c r="AF302" s="26">
        <f>VALUE(SUBSTITUTE(LEFT(Z302, FIND(" ", Z302) - 1), ",", ""))</f>
        <v>-521130</v>
      </c>
      <c r="AG302" s="27">
        <f ca="1">(AF302/YEARFRAC(A302,TODAY())/P302)</f>
        <v>-1861.256123767062</v>
      </c>
      <c r="AH302" s="24" t="s">
        <v>1238</v>
      </c>
      <c r="AI302" s="25">
        <f>VALUE(SUBSTITUTE(LEFT(X302, FIND(" ", X302) - 1), ",", ""))</f>
        <v>54609</v>
      </c>
      <c r="AJ302" s="24"/>
      <c r="AK302" s="24" t="str">
        <f>IF(AI302&gt;AC302, "YES","")</f>
        <v/>
      </c>
    </row>
    <row r="303" spans="1:37" x14ac:dyDescent="0.25">
      <c r="A303" s="5">
        <v>45049</v>
      </c>
      <c r="B303" s="20" t="s">
        <v>35</v>
      </c>
      <c r="C303" s="20">
        <v>38</v>
      </c>
      <c r="D303" s="20" t="s">
        <v>49</v>
      </c>
      <c r="E303" s="20" t="s">
        <v>33</v>
      </c>
      <c r="F303" s="20" t="s">
        <v>37</v>
      </c>
      <c r="G303" s="20" t="s">
        <v>31</v>
      </c>
      <c r="H303" s="20">
        <v>39</v>
      </c>
      <c r="I303" s="20" t="s">
        <v>32</v>
      </c>
      <c r="J303" s="20" t="s">
        <v>33</v>
      </c>
      <c r="K303" s="20" t="s">
        <v>34</v>
      </c>
      <c r="L303" s="20" t="s">
        <v>38</v>
      </c>
      <c r="M303" s="20">
        <v>0.35</v>
      </c>
      <c r="N303" s="20">
        <v>693.3</v>
      </c>
      <c r="O303" s="20">
        <v>114.8</v>
      </c>
      <c r="P303" s="20">
        <v>564.5</v>
      </c>
      <c r="Q303" s="8">
        <v>5240156</v>
      </c>
      <c r="R303" s="8">
        <v>15000000</v>
      </c>
      <c r="S303" s="8">
        <v>-1705716</v>
      </c>
      <c r="T303" s="20">
        <v>403</v>
      </c>
      <c r="U303" s="20">
        <v>370</v>
      </c>
      <c r="V303" s="20"/>
      <c r="W303" s="8">
        <v>-954039</v>
      </c>
      <c r="X303" s="20" t="s">
        <v>292</v>
      </c>
      <c r="Y303" s="20" t="s">
        <v>293</v>
      </c>
      <c r="Z303" s="20" t="s">
        <v>294</v>
      </c>
      <c r="AA303" s="20" t="s">
        <v>295</v>
      </c>
      <c r="AB303" s="3"/>
      <c r="AC303" s="8">
        <v>60156.990879999998</v>
      </c>
      <c r="AD303" s="8">
        <v>1592734.6714151951</v>
      </c>
      <c r="AE303" s="8">
        <v>1592734.6714151951</v>
      </c>
      <c r="AF303" s="8">
        <f>VALUE(SUBSTITUTE(LEFT(Z303, FIND(" ", Z303) - 1), ",", ""))</f>
        <v>1415154</v>
      </c>
      <c r="AG303" s="15">
        <f ca="1">(AF303/YEARFRAC(A303,TODAY())/P303)</f>
        <v>964.19840566873336</v>
      </c>
      <c r="AI303" s="8">
        <f>VALUE(SUBSTITUTE(LEFT(X303, FIND(" ", X303) - 1), ",", ""))</f>
        <v>1415154</v>
      </c>
      <c r="AK303" s="20" t="str">
        <f>IF(AI303&gt;AC303, "YES","")</f>
        <v>YES</v>
      </c>
    </row>
    <row r="304" spans="1:37" x14ac:dyDescent="0.25">
      <c r="A304" s="17">
        <v>45940</v>
      </c>
      <c r="B304" s="12" t="s">
        <v>44</v>
      </c>
      <c r="C304" s="12">
        <v>44</v>
      </c>
      <c r="D304" s="12" t="s">
        <v>122</v>
      </c>
      <c r="E304" s="12" t="s">
        <v>33</v>
      </c>
      <c r="F304" s="12" t="s">
        <v>37</v>
      </c>
      <c r="G304" s="12" t="s">
        <v>31</v>
      </c>
      <c r="H304" s="12">
        <v>45</v>
      </c>
      <c r="I304" s="12" t="s">
        <v>32</v>
      </c>
      <c r="J304" s="12" t="s">
        <v>33</v>
      </c>
      <c r="K304" s="12" t="s">
        <v>34</v>
      </c>
      <c r="L304" s="12" t="s">
        <v>38</v>
      </c>
      <c r="M304" s="12">
        <v>0.35</v>
      </c>
      <c r="N304" s="12">
        <v>539.1</v>
      </c>
      <c r="O304" s="12">
        <v>109.2</v>
      </c>
      <c r="P304" s="12">
        <v>621.4</v>
      </c>
      <c r="Q304" s="16">
        <v>5200000</v>
      </c>
      <c r="R304" s="16">
        <v>15000000</v>
      </c>
      <c r="S304" s="16">
        <v>-942860</v>
      </c>
      <c r="T304" s="12">
        <v>32</v>
      </c>
      <c r="U304" s="12">
        <v>216</v>
      </c>
      <c r="V304" s="12"/>
      <c r="W304" s="16">
        <v>2083380</v>
      </c>
      <c r="X304" s="12" t="s">
        <v>1198</v>
      </c>
      <c r="Y304" s="12" t="s">
        <v>1198</v>
      </c>
      <c r="Z304" s="12" t="s">
        <v>1199</v>
      </c>
      <c r="AA304" s="12"/>
      <c r="AB304" s="24"/>
      <c r="AC304" s="25">
        <v>56784.000000000007</v>
      </c>
      <c r="AD304" s="25">
        <v>1596336.536618754</v>
      </c>
      <c r="AE304" s="26">
        <v>1596336.536618754</v>
      </c>
      <c r="AF304" s="26">
        <f>VALUE(SUBSTITUTE(LEFT(Z304, FIND(" ", Z304) - 1), ",", ""))</f>
        <v>-48197</v>
      </c>
      <c r="AG304" s="27">
        <f ca="1">(AF304/YEARFRAC(A304,TODAY())/P304)</f>
        <v>-473.25939786049003</v>
      </c>
      <c r="AH304" s="24" t="s">
        <v>1238</v>
      </c>
      <c r="AI304" s="25">
        <f>VALUE(SUBSTITUTE(LEFT(X304, FIND(" ", X304) - 1), ",", ""))</f>
        <v>-48197</v>
      </c>
      <c r="AJ304" s="24"/>
      <c r="AK304" s="24" t="str">
        <f>IF(AI304&gt;AC304, "YES","")</f>
        <v/>
      </c>
    </row>
    <row r="305" spans="1:37" x14ac:dyDescent="0.25">
      <c r="A305" s="17">
        <v>45940</v>
      </c>
      <c r="B305" s="12" t="s">
        <v>44</v>
      </c>
      <c r="C305" s="12">
        <v>42</v>
      </c>
      <c r="D305" s="12" t="s">
        <v>122</v>
      </c>
      <c r="E305" s="12" t="s">
        <v>33</v>
      </c>
      <c r="F305" s="12" t="s">
        <v>37</v>
      </c>
      <c r="G305" s="12" t="s">
        <v>31</v>
      </c>
      <c r="H305" s="12">
        <v>45</v>
      </c>
      <c r="I305" s="12" t="s">
        <v>32</v>
      </c>
      <c r="J305" s="12" t="s">
        <v>33</v>
      </c>
      <c r="K305" s="12" t="s">
        <v>34</v>
      </c>
      <c r="L305" s="12" t="s">
        <v>38</v>
      </c>
      <c r="M305" s="12">
        <v>0.35</v>
      </c>
      <c r="N305" s="12">
        <v>541.20000000000005</v>
      </c>
      <c r="O305" s="12">
        <v>111.3</v>
      </c>
      <c r="P305" s="12">
        <v>609.20000000000005</v>
      </c>
      <c r="Q305" s="16">
        <v>5300000</v>
      </c>
      <c r="R305" s="16">
        <v>15000000</v>
      </c>
      <c r="S305" s="16">
        <v>-931206</v>
      </c>
      <c r="T305" s="12">
        <v>24</v>
      </c>
      <c r="U305" s="12">
        <v>216</v>
      </c>
      <c r="V305" s="12"/>
      <c r="W305" s="16">
        <v>2095035</v>
      </c>
      <c r="X305" s="12" t="s">
        <v>1200</v>
      </c>
      <c r="Y305" s="12" t="s">
        <v>1200</v>
      </c>
      <c r="Z305" s="12" t="s">
        <v>1201</v>
      </c>
      <c r="AA305" s="12"/>
      <c r="AB305" s="24"/>
      <c r="AC305" s="25">
        <v>58988.999999999993</v>
      </c>
      <c r="AD305" s="25">
        <v>1629407.1457905539</v>
      </c>
      <c r="AE305" s="26">
        <v>1629407.1457905539</v>
      </c>
      <c r="AF305" s="26">
        <f>VALUE(SUBSTITUTE(LEFT(Z305, FIND(" ", Z305) - 1), ",", ""))</f>
        <v>-48266</v>
      </c>
      <c r="AG305" s="27">
        <f ca="1">(AF305/YEARFRAC(A305,TODAY())/P305)</f>
        <v>-483.42811355820913</v>
      </c>
      <c r="AH305" s="24" t="s">
        <v>1238</v>
      </c>
      <c r="AI305" s="25">
        <f>VALUE(SUBSTITUTE(LEFT(X305, FIND(" ", X305) - 1), ",", ""))</f>
        <v>-48266</v>
      </c>
      <c r="AJ305" s="24"/>
      <c r="AK305" s="24" t="str">
        <f>IF(AI305&gt;AC305, "YES","")</f>
        <v/>
      </c>
    </row>
    <row r="306" spans="1:37" x14ac:dyDescent="0.25">
      <c r="A306" s="5">
        <v>45512</v>
      </c>
      <c r="B306" s="20" t="s">
        <v>35</v>
      </c>
      <c r="C306" s="20">
        <v>40</v>
      </c>
      <c r="D306" s="20" t="s">
        <v>36</v>
      </c>
      <c r="E306" s="20" t="s">
        <v>33</v>
      </c>
      <c r="F306" s="20" t="s">
        <v>37</v>
      </c>
      <c r="G306" s="20" t="s">
        <v>35</v>
      </c>
      <c r="H306" s="20">
        <v>41</v>
      </c>
      <c r="I306" s="20" t="s">
        <v>43</v>
      </c>
      <c r="J306" s="20" t="s">
        <v>33</v>
      </c>
      <c r="K306" s="20" t="s">
        <v>34</v>
      </c>
      <c r="L306" s="20" t="s">
        <v>38</v>
      </c>
      <c r="M306" s="20">
        <v>0.87</v>
      </c>
      <c r="N306" s="20">
        <v>299.8</v>
      </c>
      <c r="O306" s="20">
        <v>50.4</v>
      </c>
      <c r="P306" s="20">
        <v>115.8</v>
      </c>
      <c r="Q306" s="8">
        <v>35000000</v>
      </c>
      <c r="R306" s="8">
        <v>40184211</v>
      </c>
      <c r="S306" s="8">
        <v>-2813843</v>
      </c>
      <c r="T306" s="20">
        <v>88</v>
      </c>
      <c r="U306" s="20">
        <v>327</v>
      </c>
      <c r="V306" s="20"/>
      <c r="W306" s="8">
        <v>-2229289</v>
      </c>
      <c r="X306" s="20" t="s">
        <v>481</v>
      </c>
      <c r="Y306" s="20" t="s">
        <v>482</v>
      </c>
      <c r="Z306" s="20" t="s">
        <v>483</v>
      </c>
      <c r="AA306" s="20" t="s">
        <v>484</v>
      </c>
      <c r="AB306" s="3"/>
      <c r="AC306" s="8">
        <v>176400</v>
      </c>
      <c r="AD306" s="8">
        <v>5047940.0804021899</v>
      </c>
      <c r="AE306" s="8">
        <v>1658154.003441171</v>
      </c>
      <c r="AF306" s="8">
        <f>VALUE(SUBSTITUTE(LEFT(Z306, FIND(" ", Z306) - 1), ",", ""))</f>
        <v>3054718</v>
      </c>
      <c r="AG306" s="15">
        <f ca="1">(AF306/YEARFRAC(A306,TODAY())/P306)</f>
        <v>19743.311107041678</v>
      </c>
      <c r="AI306" s="8">
        <f>VALUE(SUBSTITUTE(LEFT(X306, FIND(" ", X306) - 1), ",", ""))</f>
        <v>3108997</v>
      </c>
      <c r="AK306" s="20" t="str">
        <f>IF(AI306&gt;AC306, "YES","")</f>
        <v>YES</v>
      </c>
    </row>
    <row r="307" spans="1:37" x14ac:dyDescent="0.25">
      <c r="A307" s="17">
        <v>45867</v>
      </c>
      <c r="B307" s="12" t="s">
        <v>35</v>
      </c>
      <c r="C307" s="12">
        <v>41</v>
      </c>
      <c r="D307" s="12" t="s">
        <v>43</v>
      </c>
      <c r="E307" s="12" t="s">
        <v>33</v>
      </c>
      <c r="F307" s="12" t="s">
        <v>37</v>
      </c>
      <c r="G307" s="12" t="s">
        <v>58</v>
      </c>
      <c r="H307" s="12">
        <v>43</v>
      </c>
      <c r="I307" s="12" t="s">
        <v>43</v>
      </c>
      <c r="J307" s="12" t="s">
        <v>33</v>
      </c>
      <c r="K307" s="12" t="s">
        <v>34</v>
      </c>
      <c r="L307" s="12" t="s">
        <v>38</v>
      </c>
      <c r="M307" s="12">
        <v>0.92</v>
      </c>
      <c r="N307" s="12">
        <v>71.5</v>
      </c>
      <c r="O307" s="12">
        <v>49.7</v>
      </c>
      <c r="P307" s="12">
        <v>26.3</v>
      </c>
      <c r="Q307" s="16">
        <v>25000000</v>
      </c>
      <c r="R307" s="16">
        <v>27200000</v>
      </c>
      <c r="S307" s="16">
        <v>-723323</v>
      </c>
      <c r="T307" s="12">
        <v>224</v>
      </c>
      <c r="U307" s="12">
        <v>305</v>
      </c>
      <c r="V307" s="12"/>
      <c r="W307" s="16">
        <v>1046465</v>
      </c>
      <c r="X307" s="12" t="s">
        <v>1218</v>
      </c>
      <c r="Y307" s="12" t="s">
        <v>1219</v>
      </c>
      <c r="Z307" s="12" t="s">
        <v>1220</v>
      </c>
      <c r="AA307" s="12"/>
      <c r="AB307" s="4"/>
      <c r="AC307" s="8">
        <v>124250</v>
      </c>
      <c r="AD307" s="8">
        <v>1465264.8870636551</v>
      </c>
      <c r="AE307" s="8">
        <v>1732139.505015739</v>
      </c>
      <c r="AF307" s="8">
        <f>VALUE(SUBSTITUTE(LEFT(Z307, FIND(" ", Z307) - 1), ",", ""))</f>
        <v>91951</v>
      </c>
      <c r="AG307" s="15">
        <f ca="1">(AF307/YEARFRAC(A307,TODAY())/P307)</f>
        <v>9681.8835916934768</v>
      </c>
      <c r="AI307" s="8">
        <f>VALUE(SUBSTITUTE(LEFT(X307, FIND(" ", X307) - 1), ",", ""))</f>
        <v>100822</v>
      </c>
      <c r="AK307" s="20" t="str">
        <f>IF(AI307&gt;AC307, "YES","")</f>
        <v/>
      </c>
    </row>
    <row r="308" spans="1:37" x14ac:dyDescent="0.25">
      <c r="A308" s="17">
        <v>45887</v>
      </c>
      <c r="B308" s="12" t="s">
        <v>44</v>
      </c>
      <c r="C308" s="12">
        <v>41</v>
      </c>
      <c r="D308" s="12" t="s">
        <v>43</v>
      </c>
      <c r="E308" s="12" t="s">
        <v>33</v>
      </c>
      <c r="F308" s="12" t="s">
        <v>37</v>
      </c>
      <c r="G308" s="12" t="s">
        <v>58</v>
      </c>
      <c r="H308" s="12">
        <v>43</v>
      </c>
      <c r="I308" s="12" t="s">
        <v>43</v>
      </c>
      <c r="J308" s="12" t="s">
        <v>33</v>
      </c>
      <c r="K308" s="12" t="s">
        <v>34</v>
      </c>
      <c r="L308" s="12" t="s">
        <v>38</v>
      </c>
      <c r="M308" s="12">
        <v>4.8499999999999996</v>
      </c>
      <c r="N308" s="12">
        <v>14.5</v>
      </c>
      <c r="O308" s="12">
        <v>15.7</v>
      </c>
      <c r="P308" s="12">
        <v>28.3</v>
      </c>
      <c r="Q308" s="16">
        <v>140000000</v>
      </c>
      <c r="R308" s="16">
        <v>28900000</v>
      </c>
      <c r="S308" s="16">
        <v>-1119847</v>
      </c>
      <c r="T308" s="12">
        <v>40</v>
      </c>
      <c r="U308" s="12">
        <v>306</v>
      </c>
      <c r="V308" s="12"/>
      <c r="W308" s="16">
        <v>801142</v>
      </c>
      <c r="X308" s="12" t="s">
        <v>1230</v>
      </c>
      <c r="Y308" s="12" t="s">
        <v>1231</v>
      </c>
      <c r="Z308" s="12" t="s">
        <v>1232</v>
      </c>
      <c r="AA308" s="12"/>
      <c r="AB308" s="4"/>
      <c r="AC308" s="8">
        <v>219800</v>
      </c>
      <c r="AD308" s="8">
        <v>1688046.269678303</v>
      </c>
      <c r="AE308" s="8">
        <v>1744769.359417781</v>
      </c>
      <c r="AF308" s="8">
        <f>VALUE(SUBSTITUTE(LEFT(Z308, FIND(" ", Z308) - 1), ",", ""))</f>
        <v>215361</v>
      </c>
      <c r="AG308" s="15">
        <f ca="1">(AF308/YEARFRAC(A308,TODAY())/P308)</f>
        <v>24680.851876611592</v>
      </c>
      <c r="AI308" s="8">
        <f>VALUE(SUBSTITUTE(LEFT(X308, FIND(" ", X308) - 1), ",", ""))</f>
        <v>226628</v>
      </c>
      <c r="AK308" s="20" t="str">
        <f>IF(AI308&gt;AC308, "YES","")</f>
        <v>YES</v>
      </c>
    </row>
    <row r="309" spans="1:37" x14ac:dyDescent="0.25">
      <c r="A309" s="5">
        <v>44636</v>
      </c>
      <c r="B309" s="20" t="s">
        <v>44</v>
      </c>
      <c r="C309" s="20">
        <v>34</v>
      </c>
      <c r="D309" s="20" t="s">
        <v>43</v>
      </c>
      <c r="E309" s="20" t="s">
        <v>33</v>
      </c>
      <c r="F309" s="20" t="s">
        <v>37</v>
      </c>
      <c r="G309" s="20" t="s">
        <v>31</v>
      </c>
      <c r="H309" s="20">
        <v>37</v>
      </c>
      <c r="I309" s="20" t="s">
        <v>32</v>
      </c>
      <c r="J309" s="20" t="s">
        <v>33</v>
      </c>
      <c r="K309" s="20" t="s">
        <v>34</v>
      </c>
      <c r="L309" s="20" t="s">
        <v>38</v>
      </c>
      <c r="M309" s="20">
        <v>2.84</v>
      </c>
      <c r="N309" s="20">
        <v>50.3</v>
      </c>
      <c r="O309" s="20">
        <v>24</v>
      </c>
      <c r="P309" s="20">
        <v>977.7</v>
      </c>
      <c r="Q309" s="8">
        <v>42653986</v>
      </c>
      <c r="R309" s="8">
        <v>15000000</v>
      </c>
      <c r="S309" s="8">
        <v>-1777822</v>
      </c>
      <c r="T309" s="20">
        <v>59</v>
      </c>
      <c r="U309" s="20">
        <v>303</v>
      </c>
      <c r="V309" s="20"/>
      <c r="W309" s="8">
        <v>-945832</v>
      </c>
      <c r="X309" s="20" t="s">
        <v>115</v>
      </c>
      <c r="Y309" s="20" t="s">
        <v>116</v>
      </c>
      <c r="Z309" s="20" t="s">
        <v>117</v>
      </c>
      <c r="AA309" s="20" t="s">
        <v>42</v>
      </c>
      <c r="AB309" s="4"/>
      <c r="AC309" s="8">
        <v>102369.5664</v>
      </c>
      <c r="AD309" s="8">
        <v>1217794.7668035589</v>
      </c>
      <c r="AE309" s="8">
        <v>1760742.3715474841</v>
      </c>
      <c r="AF309" s="8">
        <f>VALUE(SUBSTITUTE(LEFT(Z309, FIND(" ", Z309) - 1), ",", ""))</f>
        <v>1363192</v>
      </c>
      <c r="AG309" s="15">
        <f ca="1">(AF309/YEARFRAC(A309,TODAY())/P309)</f>
        <v>373.74716033519184</v>
      </c>
      <c r="AI309" s="8">
        <f>VALUE(SUBSTITUTE(LEFT(X309, FIND(" ", X309) - 1), ",", ""))</f>
        <v>1363192</v>
      </c>
      <c r="AK309" s="20" t="str">
        <f>IF(AI309&gt;AC309, "YES","")</f>
        <v>YES</v>
      </c>
    </row>
    <row r="310" spans="1:37" x14ac:dyDescent="0.25">
      <c r="A310" s="17">
        <v>45819</v>
      </c>
      <c r="B310" s="12" t="s">
        <v>35</v>
      </c>
      <c r="C310" s="12">
        <v>41</v>
      </c>
      <c r="D310" s="12" t="s">
        <v>43</v>
      </c>
      <c r="E310" s="12" t="s">
        <v>33</v>
      </c>
      <c r="F310" s="12" t="s">
        <v>37</v>
      </c>
      <c r="G310" s="12" t="s">
        <v>58</v>
      </c>
      <c r="H310" s="12">
        <v>43</v>
      </c>
      <c r="I310" s="12" t="s">
        <v>43</v>
      </c>
      <c r="J310" s="12" t="s">
        <v>33</v>
      </c>
      <c r="K310" s="12" t="s">
        <v>34</v>
      </c>
      <c r="L310" s="12" t="s">
        <v>38</v>
      </c>
      <c r="M310" s="12">
        <v>0.93</v>
      </c>
      <c r="N310" s="12">
        <v>65.599999999999994</v>
      </c>
      <c r="O310" s="12">
        <v>48</v>
      </c>
      <c r="P310" s="12">
        <v>39.5</v>
      </c>
      <c r="Q310" s="16">
        <v>25000000</v>
      </c>
      <c r="R310" s="16">
        <v>26900000</v>
      </c>
      <c r="S310" s="16">
        <v>-782947</v>
      </c>
      <c r="T310" s="12">
        <v>243</v>
      </c>
      <c r="U310" s="12">
        <v>323</v>
      </c>
      <c r="V310" s="12"/>
      <c r="W310" s="16">
        <v>799769</v>
      </c>
      <c r="X310" s="12" t="s">
        <v>1204</v>
      </c>
      <c r="Y310" s="12" t="s">
        <v>1205</v>
      </c>
      <c r="Z310" s="12" t="s">
        <v>1206</v>
      </c>
      <c r="AA310" s="12" t="s">
        <v>1207</v>
      </c>
      <c r="AB310" s="4"/>
      <c r="AC310" s="8">
        <v>120000</v>
      </c>
      <c r="AD310" s="8">
        <v>1487247.3921971261</v>
      </c>
      <c r="AE310" s="8">
        <v>1779841.1668375561</v>
      </c>
      <c r="AF310" s="8">
        <f>VALUE(SUBSTITUTE(LEFT(Z310, FIND(" ", Z310) - 1), ",", ""))</f>
        <v>146988</v>
      </c>
      <c r="AG310" s="15">
        <f ca="1">(AF310/YEARFRAC(A310,TODAY())/P310)</f>
        <v>7526.0531930024172</v>
      </c>
      <c r="AI310" s="8">
        <f>VALUE(SUBSTITUTE(LEFT(X310, FIND(" ", X310) - 1), ",", ""))</f>
        <v>311194</v>
      </c>
      <c r="AK310" s="20" t="str">
        <f>IF(AI310&gt;AC310, "YES","")</f>
        <v>YES</v>
      </c>
    </row>
    <row r="311" spans="1:37" x14ac:dyDescent="0.25">
      <c r="A311" s="17">
        <v>45887</v>
      </c>
      <c r="B311" s="12" t="s">
        <v>35</v>
      </c>
      <c r="C311" s="12">
        <v>41</v>
      </c>
      <c r="D311" s="12" t="s">
        <v>43</v>
      </c>
      <c r="E311" s="12" t="s">
        <v>33</v>
      </c>
      <c r="F311" s="12" t="s">
        <v>37</v>
      </c>
      <c r="G311" s="12" t="s">
        <v>58</v>
      </c>
      <c r="H311" s="12">
        <v>43</v>
      </c>
      <c r="I311" s="12" t="s">
        <v>43</v>
      </c>
      <c r="J311" s="12" t="s">
        <v>33</v>
      </c>
      <c r="K311" s="12" t="s">
        <v>34</v>
      </c>
      <c r="L311" s="12" t="s">
        <v>38</v>
      </c>
      <c r="M311" s="12">
        <v>0.91</v>
      </c>
      <c r="N311" s="12">
        <v>75.400000000000006</v>
      </c>
      <c r="O311" s="12">
        <v>60.2</v>
      </c>
      <c r="P311" s="12">
        <v>35.200000000000003</v>
      </c>
      <c r="Q311" s="16">
        <v>25000000</v>
      </c>
      <c r="R311" s="16">
        <v>27500000</v>
      </c>
      <c r="S311" s="16">
        <v>-745228</v>
      </c>
      <c r="T311" s="12">
        <v>220</v>
      </c>
      <c r="U311" s="12">
        <v>306</v>
      </c>
      <c r="V311" s="12"/>
      <c r="W311" s="16">
        <v>1082703</v>
      </c>
      <c r="X311" s="12" t="s">
        <v>1227</v>
      </c>
      <c r="Y311" s="12" t="s">
        <v>1228</v>
      </c>
      <c r="Z311" s="12" t="s">
        <v>1229</v>
      </c>
      <c r="AA311" s="12"/>
      <c r="AB311" s="4"/>
      <c r="AC311" s="8">
        <v>150500</v>
      </c>
      <c r="AD311" s="8">
        <v>1540527.036276523</v>
      </c>
      <c r="AE311" s="8">
        <v>1786212.0960073411</v>
      </c>
      <c r="AF311" s="8">
        <f>VALUE(SUBSTITUTE(LEFT(Z311, FIND(" ", Z311) - 1), ",", ""))</f>
        <v>118533</v>
      </c>
      <c r="AG311" s="15">
        <f ca="1">(AF311/YEARFRAC(A311,TODAY())/P311)</f>
        <v>10921.345208845209</v>
      </c>
      <c r="AI311" s="8">
        <f>VALUE(SUBSTITUTE(LEFT(X311, FIND(" ", X311) - 1), ",", ""))</f>
        <v>123846</v>
      </c>
      <c r="AK311" s="20" t="str">
        <f>IF(AI311&gt;AC311, "YES","")</f>
        <v/>
      </c>
    </row>
    <row r="312" spans="1:37" x14ac:dyDescent="0.25">
      <c r="A312" s="5">
        <v>45324</v>
      </c>
      <c r="B312" s="20" t="s">
        <v>35</v>
      </c>
      <c r="C312" s="20">
        <v>38</v>
      </c>
      <c r="D312" s="20" t="s">
        <v>43</v>
      </c>
      <c r="E312" s="20" t="s">
        <v>33</v>
      </c>
      <c r="F312" s="20" t="s">
        <v>37</v>
      </c>
      <c r="G312" s="20" t="s">
        <v>58</v>
      </c>
      <c r="H312" s="20">
        <v>40</v>
      </c>
      <c r="I312" s="20" t="s">
        <v>43</v>
      </c>
      <c r="J312" s="20" t="s">
        <v>33</v>
      </c>
      <c r="K312" s="20" t="s">
        <v>34</v>
      </c>
      <c r="L312" s="20" t="s">
        <v>38</v>
      </c>
      <c r="M312" s="20">
        <v>1.01</v>
      </c>
      <c r="N312" s="20">
        <v>102.8</v>
      </c>
      <c r="O312" s="20">
        <v>25.1</v>
      </c>
      <c r="P312" s="20">
        <v>72.8</v>
      </c>
      <c r="Q312" s="8">
        <v>25000000</v>
      </c>
      <c r="R312" s="8">
        <v>24784698</v>
      </c>
      <c r="S312" s="8">
        <v>-1037501</v>
      </c>
      <c r="T312" s="20">
        <v>227</v>
      </c>
      <c r="U312" s="20">
        <v>330</v>
      </c>
      <c r="V312" s="20"/>
      <c r="W312" s="8">
        <v>-663844</v>
      </c>
      <c r="X312" s="20" t="s">
        <v>624</v>
      </c>
      <c r="Y312" s="20" t="s">
        <v>625</v>
      </c>
      <c r="Z312" s="20" t="s">
        <v>626</v>
      </c>
      <c r="AA312" s="20" t="s">
        <v>627</v>
      </c>
      <c r="AB312" s="4"/>
      <c r="AC312" s="8">
        <v>62750</v>
      </c>
      <c r="AD312" s="8">
        <v>1381203.4343600271</v>
      </c>
      <c r="AE312" s="8">
        <v>1793396.9205836521</v>
      </c>
      <c r="AF312" s="8">
        <f>VALUE(SUBSTITUTE(LEFT(Z312, FIND(" ", Z312) - 1), ",", ""))</f>
        <v>955378</v>
      </c>
      <c r="AG312" s="15">
        <f ca="1">(AF312/YEARFRAC(A312,TODAY())/P312)</f>
        <v>7083.0535281809643</v>
      </c>
      <c r="AI312" s="8">
        <f>VALUE(SUBSTITUTE(LEFT(X312, FIND(" ", X312) - 1), ",", ""))</f>
        <v>1007028</v>
      </c>
      <c r="AK312" s="20" t="str">
        <f>IF(AI312&gt;AC312, "YES","")</f>
        <v>YES</v>
      </c>
    </row>
    <row r="313" spans="1:37" x14ac:dyDescent="0.25">
      <c r="A313" s="5">
        <v>45265</v>
      </c>
      <c r="B313" s="20" t="s">
        <v>35</v>
      </c>
      <c r="C313" s="20">
        <v>38</v>
      </c>
      <c r="D313" s="20" t="s">
        <v>43</v>
      </c>
      <c r="E313" s="20" t="s">
        <v>33</v>
      </c>
      <c r="F313" s="20" t="s">
        <v>37</v>
      </c>
      <c r="G313" s="20" t="s">
        <v>58</v>
      </c>
      <c r="H313" s="20">
        <v>40</v>
      </c>
      <c r="I313" s="20" t="s">
        <v>43</v>
      </c>
      <c r="J313" s="20" t="s">
        <v>33</v>
      </c>
      <c r="K313" s="20" t="s">
        <v>34</v>
      </c>
      <c r="L313" s="20" t="s">
        <v>38</v>
      </c>
      <c r="M313" s="20">
        <v>1.05</v>
      </c>
      <c r="N313" s="20">
        <v>88.9</v>
      </c>
      <c r="O313" s="20">
        <v>77</v>
      </c>
      <c r="P313" s="20">
        <v>44</v>
      </c>
      <c r="Q313" s="8">
        <v>25000000</v>
      </c>
      <c r="R313" s="8">
        <v>23760202</v>
      </c>
      <c r="S313" s="8">
        <v>-1145269</v>
      </c>
      <c r="T313" s="20">
        <v>274</v>
      </c>
      <c r="U313" s="20">
        <v>379</v>
      </c>
      <c r="V313" s="20"/>
      <c r="W313" s="8">
        <v>-380345</v>
      </c>
      <c r="X313" s="20" t="s">
        <v>356</v>
      </c>
      <c r="Y313" s="20" t="s">
        <v>357</v>
      </c>
      <c r="Z313" s="20" t="s">
        <v>358</v>
      </c>
      <c r="AA313" s="20" t="s">
        <v>359</v>
      </c>
      <c r="AB313" s="4"/>
      <c r="AC313" s="8">
        <v>192500</v>
      </c>
      <c r="AD313" s="8">
        <v>1322077.582401643</v>
      </c>
      <c r="AE313" s="8">
        <v>1808508.889871957</v>
      </c>
      <c r="AF313" s="8">
        <f>VALUE(SUBSTITUTE(LEFT(Z313, FIND(" ", Z313) - 1), ",", ""))</f>
        <v>912307</v>
      </c>
      <c r="AG313" s="15">
        <f ca="1">(AF313/YEARFRAC(A313,TODAY())/P313)</f>
        <v>10309.848066298342</v>
      </c>
      <c r="AI313" s="8">
        <f>VALUE(SUBSTITUTE(LEFT(X313, FIND(" ", X313) - 1), ",", ""))</f>
        <v>1028226</v>
      </c>
      <c r="AK313" s="20" t="str">
        <f>IF(AI313&gt;AC313, "YES","")</f>
        <v>YES</v>
      </c>
    </row>
    <row r="314" spans="1:37" x14ac:dyDescent="0.25">
      <c r="A314" s="17">
        <v>45819</v>
      </c>
      <c r="B314" s="12" t="s">
        <v>31</v>
      </c>
      <c r="C314" s="12">
        <v>42</v>
      </c>
      <c r="D314" s="12" t="s">
        <v>43</v>
      </c>
      <c r="E314" s="12" t="s">
        <v>33</v>
      </c>
      <c r="F314" s="12" t="s">
        <v>37</v>
      </c>
      <c r="G314" s="12" t="s">
        <v>58</v>
      </c>
      <c r="H314" s="12">
        <v>43</v>
      </c>
      <c r="I314" s="12" t="s">
        <v>43</v>
      </c>
      <c r="J314" s="12" t="s">
        <v>33</v>
      </c>
      <c r="K314" s="12" t="s">
        <v>34</v>
      </c>
      <c r="L314" s="12" t="s">
        <v>38</v>
      </c>
      <c r="M314" s="12">
        <v>5.18</v>
      </c>
      <c r="N314" s="12">
        <v>18.600000000000001</v>
      </c>
      <c r="O314" s="12">
        <v>10.1</v>
      </c>
      <c r="P314" s="12">
        <v>38.299999999999997</v>
      </c>
      <c r="Q314" s="16">
        <v>140000000</v>
      </c>
      <c r="R314" s="16">
        <v>27000000</v>
      </c>
      <c r="S314" s="16">
        <v>-916550</v>
      </c>
      <c r="T314" s="12">
        <v>41</v>
      </c>
      <c r="U314" s="12">
        <v>323</v>
      </c>
      <c r="V314" s="12"/>
      <c r="W314" s="16">
        <v>672050</v>
      </c>
      <c r="X314" s="12" t="s">
        <v>1208</v>
      </c>
      <c r="Y314" s="12" t="s">
        <v>1209</v>
      </c>
      <c r="Z314" s="12" t="s">
        <v>1210</v>
      </c>
      <c r="AA314" s="12" t="s">
        <v>1211</v>
      </c>
      <c r="AB314" s="4"/>
      <c r="AC314" s="8">
        <v>141400</v>
      </c>
      <c r="AD314" s="8">
        <v>1636690.7597535939</v>
      </c>
      <c r="AE314" s="8">
        <v>1816297.946784951</v>
      </c>
      <c r="AF314" s="8">
        <f>VALUE(SUBSTITUTE(LEFT(Z314, FIND(" ", Z314) - 1), ",", ""))</f>
        <v>299435</v>
      </c>
      <c r="AG314" s="15">
        <f ca="1">(AF314/YEARFRAC(A314,TODAY())/P314)</f>
        <v>15811.981107166957</v>
      </c>
      <c r="AI314" s="8">
        <f>VALUE(SUBSTITUTE(LEFT(X314, FIND(" ", X314) - 1), ",", ""))</f>
        <v>317199</v>
      </c>
      <c r="AK314" s="20" t="str">
        <f>IF(AI314&gt;AC314, "YES","")</f>
        <v>YES</v>
      </c>
    </row>
    <row r="315" spans="1:37" x14ac:dyDescent="0.25">
      <c r="A315" s="5">
        <v>45744</v>
      </c>
      <c r="B315" s="20" t="s">
        <v>35</v>
      </c>
      <c r="C315" s="20">
        <v>42</v>
      </c>
      <c r="D315" s="20" t="s">
        <v>36</v>
      </c>
      <c r="E315" s="20" t="s">
        <v>33</v>
      </c>
      <c r="F315" s="20" t="s">
        <v>37</v>
      </c>
      <c r="G315" s="20" t="s">
        <v>35</v>
      </c>
      <c r="H315" s="20">
        <v>43</v>
      </c>
      <c r="I315" s="20" t="s">
        <v>43</v>
      </c>
      <c r="J315" s="20" t="s">
        <v>33</v>
      </c>
      <c r="K315" s="20" t="s">
        <v>34</v>
      </c>
      <c r="L315" s="20" t="s">
        <v>38</v>
      </c>
      <c r="M315" s="20">
        <v>0.84</v>
      </c>
      <c r="N315" s="20">
        <v>298.2</v>
      </c>
      <c r="O315" s="20">
        <v>19.8</v>
      </c>
      <c r="P315" s="20">
        <v>298.10000000000002</v>
      </c>
      <c r="Q315" s="8">
        <v>35000000</v>
      </c>
      <c r="R315" s="8">
        <v>41435475</v>
      </c>
      <c r="S315" s="8">
        <v>-2831698</v>
      </c>
      <c r="T315" s="20">
        <v>94</v>
      </c>
      <c r="U315" s="20">
        <v>322</v>
      </c>
      <c r="V315" s="20"/>
      <c r="W315" s="8">
        <v>-549249</v>
      </c>
      <c r="X315" s="20" t="s">
        <v>995</v>
      </c>
      <c r="Y315" s="20" t="s">
        <v>996</v>
      </c>
      <c r="Z315" s="20" t="s">
        <v>997</v>
      </c>
      <c r="AA315" s="20" t="s">
        <v>998</v>
      </c>
      <c r="AB315" s="4"/>
      <c r="AC315" s="8">
        <v>69300</v>
      </c>
      <c r="AD315" s="8">
        <v>5420540.9540041061</v>
      </c>
      <c r="AE315" s="8">
        <v>1817920.833396289</v>
      </c>
      <c r="AF315" s="8">
        <f>VALUE(SUBSTITUTE(LEFT(Z315, FIND(" ", Z315) - 1), ",", ""))</f>
        <v>1943002</v>
      </c>
      <c r="AG315" s="15">
        <f ca="1">(AF315/YEARFRAC(A315,TODAY())/P315)</f>
        <v>9348.4594998068787</v>
      </c>
      <c r="AI315" s="8">
        <f>VALUE(SUBSTITUTE(LEFT(X315, FIND(" ", X315) - 1), ",", ""))</f>
        <v>2028077</v>
      </c>
      <c r="AK315" s="20" t="str">
        <f>IF(AI315&gt;AC315, "YES","")</f>
        <v>YES</v>
      </c>
    </row>
    <row r="316" spans="1:37" x14ac:dyDescent="0.25">
      <c r="A316" s="5">
        <v>44917</v>
      </c>
      <c r="B316" s="20" t="s">
        <v>35</v>
      </c>
      <c r="C316" s="20">
        <v>36</v>
      </c>
      <c r="D316" s="20" t="s">
        <v>49</v>
      </c>
      <c r="E316" s="20" t="s">
        <v>33</v>
      </c>
      <c r="F316" s="20" t="s">
        <v>37</v>
      </c>
      <c r="G316" s="20" t="s">
        <v>35</v>
      </c>
      <c r="H316" s="20">
        <v>38</v>
      </c>
      <c r="I316" s="20" t="s">
        <v>43</v>
      </c>
      <c r="J316" s="20" t="s">
        <v>33</v>
      </c>
      <c r="K316" s="20" t="s">
        <v>34</v>
      </c>
      <c r="L316" s="20" t="s">
        <v>38</v>
      </c>
      <c r="M316" s="20">
        <v>0.3</v>
      </c>
      <c r="N316" s="20">
        <v>1250</v>
      </c>
      <c r="O316" s="20">
        <v>131.9</v>
      </c>
      <c r="P316" s="20">
        <v>214</v>
      </c>
      <c r="Q316" s="8">
        <v>5000000</v>
      </c>
      <c r="R316" s="8">
        <v>16668183</v>
      </c>
      <c r="S316" s="8">
        <v>-115303</v>
      </c>
      <c r="T316" s="20">
        <v>386</v>
      </c>
      <c r="U316" s="20">
        <v>484</v>
      </c>
      <c r="V316" s="20"/>
      <c r="W316" s="8">
        <v>589509</v>
      </c>
      <c r="X316" s="20" t="s">
        <v>236</v>
      </c>
      <c r="Y316" s="20" t="s">
        <v>237</v>
      </c>
      <c r="Z316" s="20" t="s">
        <v>238</v>
      </c>
      <c r="AA316" s="20" t="s">
        <v>239</v>
      </c>
      <c r="AB316" s="4"/>
      <c r="AC316" s="8">
        <v>65950</v>
      </c>
      <c r="AD316" s="8">
        <v>3257787.4451274471</v>
      </c>
      <c r="AE316" s="8">
        <v>1836171.8811216389</v>
      </c>
      <c r="AF316" s="8">
        <f>VALUE(SUBSTITUTE(LEFT(Z316, FIND(" ", Z316) - 1), ",", ""))</f>
        <v>2869926</v>
      </c>
      <c r="AG316" s="15">
        <f ca="1">(AF316/YEARFRAC(A316,TODAY())/P316)</f>
        <v>4524.7543553854375</v>
      </c>
      <c r="AI316" s="8">
        <f>VALUE(SUBSTITUTE(LEFT(X316, FIND(" ", X316) - 1), ",", ""))</f>
        <v>2892379</v>
      </c>
      <c r="AK316" s="20" t="str">
        <f>IF(AI316&gt;AC316, "YES","")</f>
        <v>YES</v>
      </c>
    </row>
    <row r="317" spans="1:37" x14ac:dyDescent="0.25">
      <c r="A317" s="5">
        <v>44917</v>
      </c>
      <c r="B317" s="20" t="s">
        <v>35</v>
      </c>
      <c r="C317" s="20">
        <v>38</v>
      </c>
      <c r="D317" s="20" t="s">
        <v>36</v>
      </c>
      <c r="E317" s="20" t="s">
        <v>33</v>
      </c>
      <c r="F317" s="20" t="s">
        <v>37</v>
      </c>
      <c r="G317" s="20" t="s">
        <v>35</v>
      </c>
      <c r="H317" s="20">
        <v>38</v>
      </c>
      <c r="I317" s="20" t="s">
        <v>82</v>
      </c>
      <c r="J317" s="20" t="s">
        <v>33</v>
      </c>
      <c r="K317" s="20" t="s">
        <v>34</v>
      </c>
      <c r="L317" s="20" t="s">
        <v>38</v>
      </c>
      <c r="M317" s="20">
        <v>1.97</v>
      </c>
      <c r="N317" s="20">
        <v>402.7</v>
      </c>
      <c r="O317" s="20">
        <v>53.6</v>
      </c>
      <c r="P317" s="20">
        <v>736.3</v>
      </c>
      <c r="Q317" s="8">
        <v>9853206</v>
      </c>
      <c r="R317" s="8">
        <v>5000000</v>
      </c>
      <c r="S317" s="8">
        <v>-2969902</v>
      </c>
      <c r="T317" s="20">
        <v>166</v>
      </c>
      <c r="U317" s="20">
        <v>1082</v>
      </c>
      <c r="V317" s="20"/>
      <c r="W317" s="8">
        <v>-2425415</v>
      </c>
      <c r="X317" s="20" t="s">
        <v>219</v>
      </c>
      <c r="Y317" s="20" t="s">
        <v>220</v>
      </c>
      <c r="Z317" s="20" t="s">
        <v>221</v>
      </c>
      <c r="AA317" s="20" t="s">
        <v>42</v>
      </c>
      <c r="AB317" s="4"/>
      <c r="AC317" s="8">
        <v>52813.184159999997</v>
      </c>
      <c r="AD317" s="8">
        <v>1884858.8294308011</v>
      </c>
      <c r="AE317" s="8">
        <v>1884858.8294308011</v>
      </c>
      <c r="AF317" s="8">
        <f>VALUE(SUBSTITUTE(LEFT(Z317, FIND(" ", Z317) - 1), ",", ""))</f>
        <v>2248808</v>
      </c>
      <c r="AG317" s="15">
        <f ca="1">(AF317/YEARFRAC(A317,TODAY())/P317)</f>
        <v>1030.4707254196971</v>
      </c>
      <c r="AI317" s="8">
        <f>VALUE(SUBSTITUTE(LEFT(X317, FIND(" ", X317) - 1), ",", ""))</f>
        <v>2253652</v>
      </c>
      <c r="AK317" s="20" t="str">
        <f>IF(AI317&gt;AC317, "YES","")</f>
        <v>YES</v>
      </c>
    </row>
    <row r="318" spans="1:37" x14ac:dyDescent="0.25">
      <c r="A318" s="5">
        <v>45561</v>
      </c>
      <c r="B318" s="20" t="s">
        <v>35</v>
      </c>
      <c r="C318" s="20">
        <v>40</v>
      </c>
      <c r="D318" s="20" t="s">
        <v>43</v>
      </c>
      <c r="E318" s="20" t="s">
        <v>33</v>
      </c>
      <c r="F318" s="20" t="s">
        <v>37</v>
      </c>
      <c r="G318" s="20" t="s">
        <v>58</v>
      </c>
      <c r="H318" s="20">
        <v>43</v>
      </c>
      <c r="I318" s="20" t="s">
        <v>43</v>
      </c>
      <c r="J318" s="20" t="s">
        <v>33</v>
      </c>
      <c r="K318" s="20" t="s">
        <v>34</v>
      </c>
      <c r="L318" s="20" t="s">
        <v>38</v>
      </c>
      <c r="M318" s="20">
        <v>0.98</v>
      </c>
      <c r="N318" s="20">
        <v>74.8</v>
      </c>
      <c r="O318" s="20">
        <v>40.4</v>
      </c>
      <c r="P318" s="20">
        <v>61.7</v>
      </c>
      <c r="Q318" s="8">
        <v>25000000</v>
      </c>
      <c r="R318" s="8">
        <v>25568008</v>
      </c>
      <c r="S318" s="8">
        <v>-600837</v>
      </c>
      <c r="T318" s="20">
        <v>286</v>
      </c>
      <c r="U318" s="20">
        <v>349</v>
      </c>
      <c r="V318" s="20"/>
      <c r="W318" s="8">
        <v>223511</v>
      </c>
      <c r="X318" s="20" t="s">
        <v>860</v>
      </c>
      <c r="Y318" s="20" t="s">
        <v>861</v>
      </c>
      <c r="Z318" s="20" t="s">
        <v>862</v>
      </c>
      <c r="AA318" s="20" t="s">
        <v>863</v>
      </c>
      <c r="AB318" s="4"/>
      <c r="AC318" s="8">
        <v>101000</v>
      </c>
      <c r="AD318" s="8">
        <v>1642272.8781689261</v>
      </c>
      <c r="AE318" s="8">
        <v>1960958.644900488</v>
      </c>
      <c r="AF318" s="8">
        <f>VALUE(SUBSTITUTE(LEFT(Z318, FIND(" ", Z318) - 1), ",", ""))</f>
        <v>191344</v>
      </c>
      <c r="AG318" s="15">
        <f ca="1">(AF318/YEARFRAC(A318,TODAY())/P318)</f>
        <v>2578.364357073076</v>
      </c>
      <c r="AI318" s="8">
        <f>VALUE(SUBSTITUTE(LEFT(X318, FIND(" ", X318) - 1), ",", ""))</f>
        <v>360823</v>
      </c>
      <c r="AK318" s="20" t="str">
        <f>IF(AI318&gt;AC318, "YES","")</f>
        <v>YES</v>
      </c>
    </row>
    <row r="319" spans="1:37" x14ac:dyDescent="0.25">
      <c r="A319" s="5">
        <v>45714</v>
      </c>
      <c r="B319" s="20" t="s">
        <v>35</v>
      </c>
      <c r="C319" s="20">
        <v>40</v>
      </c>
      <c r="D319" s="20" t="s">
        <v>43</v>
      </c>
      <c r="E319" s="20" t="s">
        <v>33</v>
      </c>
      <c r="F319" s="20" t="s">
        <v>37</v>
      </c>
      <c r="G319" s="20" t="s">
        <v>58</v>
      </c>
      <c r="H319" s="20">
        <v>43</v>
      </c>
      <c r="I319" s="20" t="s">
        <v>43</v>
      </c>
      <c r="J319" s="20" t="s">
        <v>33</v>
      </c>
      <c r="K319" s="20" t="s">
        <v>34</v>
      </c>
      <c r="L319" s="20" t="s">
        <v>38</v>
      </c>
      <c r="M319" s="20">
        <v>0.94</v>
      </c>
      <c r="N319" s="20">
        <v>103.6</v>
      </c>
      <c r="O319" s="20">
        <v>58.6</v>
      </c>
      <c r="P319" s="20">
        <v>52.6</v>
      </c>
      <c r="Q319" s="8">
        <v>25000000</v>
      </c>
      <c r="R319" s="8">
        <v>26676743</v>
      </c>
      <c r="S319" s="8">
        <v>-534857</v>
      </c>
      <c r="T319" s="20">
        <v>225</v>
      </c>
      <c r="U319" s="20">
        <v>305</v>
      </c>
      <c r="V319" s="20"/>
      <c r="W319" s="8">
        <v>894125</v>
      </c>
      <c r="X319" s="20" t="s">
        <v>970</v>
      </c>
      <c r="Y319" s="20" t="s">
        <v>971</v>
      </c>
      <c r="Z319" s="20" t="s">
        <v>972</v>
      </c>
      <c r="AA319" s="20" t="s">
        <v>973</v>
      </c>
      <c r="AB319" s="4"/>
      <c r="AC319" s="8">
        <v>146500</v>
      </c>
      <c r="AD319" s="8">
        <v>1770890.576090348</v>
      </c>
      <c r="AE319" s="8">
        <v>1987610.3151593311</v>
      </c>
      <c r="AF319" s="8">
        <f>VALUE(SUBSTITUTE(LEFT(Z319, FIND(" ", Z319) - 1), ",", ""))</f>
        <v>194844</v>
      </c>
      <c r="AG319" s="15">
        <f ca="1">(AF319/YEARFRAC(A319,TODAY())/P319)</f>
        <v>4712.1310241975571</v>
      </c>
      <c r="AI319" s="8">
        <f>VALUE(SUBSTITUTE(LEFT(X319, FIND(" ", X319) - 1), ",", ""))</f>
        <v>202995</v>
      </c>
      <c r="AK319" s="20" t="str">
        <f>IF(AI319&gt;AC319, "YES","")</f>
        <v>YES</v>
      </c>
    </row>
    <row r="320" spans="1:37" x14ac:dyDescent="0.25">
      <c r="A320" s="5">
        <v>44545</v>
      </c>
      <c r="B320" s="20" t="s">
        <v>57</v>
      </c>
      <c r="C320" s="20">
        <v>36</v>
      </c>
      <c r="D320" s="20" t="s">
        <v>43</v>
      </c>
      <c r="E320" s="20" t="s">
        <v>33</v>
      </c>
      <c r="F320" s="20" t="s">
        <v>37</v>
      </c>
      <c r="G320" s="20" t="s">
        <v>44</v>
      </c>
      <c r="H320" s="20">
        <v>34</v>
      </c>
      <c r="I320" s="20" t="s">
        <v>43</v>
      </c>
      <c r="J320" s="20" t="s">
        <v>78</v>
      </c>
      <c r="K320" s="20" t="s">
        <v>34</v>
      </c>
      <c r="L320" s="20" t="s">
        <v>38</v>
      </c>
      <c r="M320" s="20">
        <v>0.28000000000000003</v>
      </c>
      <c r="N320" s="20">
        <v>96</v>
      </c>
      <c r="O320" s="20">
        <v>14.7</v>
      </c>
      <c r="P320" s="20">
        <v>158</v>
      </c>
      <c r="Q320" s="8">
        <v>39155363</v>
      </c>
      <c r="R320" s="8">
        <v>140000000</v>
      </c>
      <c r="S320" s="8">
        <v>-3884231</v>
      </c>
      <c r="T320" s="20">
        <v>116</v>
      </c>
      <c r="U320" s="20">
        <v>58</v>
      </c>
      <c r="V320" s="20"/>
      <c r="W320" s="8">
        <v>-3140126</v>
      </c>
      <c r="X320" s="20" t="s">
        <v>93</v>
      </c>
      <c r="Y320" s="20" t="s">
        <v>94</v>
      </c>
      <c r="Z320" s="20" t="s">
        <v>95</v>
      </c>
      <c r="AA320" s="20" t="s">
        <v>42</v>
      </c>
      <c r="AB320" s="4"/>
      <c r="AC320" s="8">
        <v>57558.383609999997</v>
      </c>
      <c r="AD320" s="8">
        <v>2605086.2478444902</v>
      </c>
      <c r="AE320" s="8">
        <v>1998883.9473613929</v>
      </c>
      <c r="AF320" s="8">
        <f>VALUE(SUBSTITUTE(LEFT(Z320, FIND(" ", Z320) - 1), ",", ""))</f>
        <v>4310569</v>
      </c>
      <c r="AG320" s="15">
        <f ca="1">(AF320/YEARFRAC(A320,TODAY())/P320)</f>
        <v>6849.0583125893745</v>
      </c>
      <c r="AI320" s="8">
        <f>VALUE(SUBSTITUTE(LEFT(X320, FIND(" ", X320) - 1), ",", ""))</f>
        <v>4321718</v>
      </c>
      <c r="AK320" s="20" t="str">
        <f>IF(AI320&gt;AC320, "YES","")</f>
        <v>YES</v>
      </c>
    </row>
    <row r="321" spans="1:37" x14ac:dyDescent="0.25">
      <c r="A321" s="5">
        <v>44636</v>
      </c>
      <c r="B321" s="20" t="s">
        <v>44</v>
      </c>
      <c r="C321" s="20">
        <v>36</v>
      </c>
      <c r="D321" s="20" t="s">
        <v>122</v>
      </c>
      <c r="E321" s="20" t="s">
        <v>33</v>
      </c>
      <c r="F321" s="20" t="s">
        <v>37</v>
      </c>
      <c r="G321" s="20" t="s">
        <v>31</v>
      </c>
      <c r="H321" s="20">
        <v>37</v>
      </c>
      <c r="I321" s="20" t="s">
        <v>32</v>
      </c>
      <c r="J321" s="20" t="s">
        <v>33</v>
      </c>
      <c r="K321" s="20" t="s">
        <v>34</v>
      </c>
      <c r="L321" s="20" t="s">
        <v>38</v>
      </c>
      <c r="M321" s="20">
        <v>0.3</v>
      </c>
      <c r="N321" s="20">
        <v>997.9</v>
      </c>
      <c r="O321" s="20">
        <v>314.3</v>
      </c>
      <c r="P321" s="20">
        <v>305.5</v>
      </c>
      <c r="Q321" s="8">
        <v>4540677</v>
      </c>
      <c r="R321" s="8">
        <v>15000000</v>
      </c>
      <c r="S321" s="8">
        <v>-1289940</v>
      </c>
      <c r="T321" s="20">
        <v>37</v>
      </c>
      <c r="U321" s="20">
        <v>303</v>
      </c>
      <c r="V321" s="20"/>
      <c r="W321" s="8">
        <v>-1233962</v>
      </c>
      <c r="X321" s="20" t="s">
        <v>123</v>
      </c>
      <c r="Y321" s="20" t="s">
        <v>124</v>
      </c>
      <c r="Z321" s="20" t="s">
        <v>125</v>
      </c>
      <c r="AA321" s="20" t="s">
        <v>126</v>
      </c>
      <c r="AB321" s="4"/>
      <c r="AC321" s="8">
        <v>142713.47811</v>
      </c>
      <c r="AD321" s="8">
        <v>2085139.278505133</v>
      </c>
      <c r="AE321" s="8">
        <v>2085139.278505133</v>
      </c>
      <c r="AF321" s="8">
        <f>VALUE(SUBSTITUTE(LEFT(Z321, FIND(" ", Z321) - 1), ",", ""))</f>
        <v>2018572</v>
      </c>
      <c r="AG321" s="15">
        <f ca="1">(AF321/YEARFRAC(A321,TODAY())/P321)</f>
        <v>1771.1670259684388</v>
      </c>
      <c r="AI321" s="8">
        <f>VALUE(SUBSTITUTE(LEFT(X321, FIND(" ", X321) - 1), ",", ""))</f>
        <v>2018878</v>
      </c>
      <c r="AK321" s="20" t="str">
        <f>IF(AI321&gt;AC321, "YES","")</f>
        <v>YES</v>
      </c>
    </row>
    <row r="322" spans="1:37" x14ac:dyDescent="0.25">
      <c r="A322" s="5">
        <v>45386</v>
      </c>
      <c r="B322" s="20" t="s">
        <v>35</v>
      </c>
      <c r="C322" s="20">
        <v>40</v>
      </c>
      <c r="D322" s="20" t="s">
        <v>43</v>
      </c>
      <c r="E322" s="20" t="s">
        <v>33</v>
      </c>
      <c r="F322" s="20" t="s">
        <v>37</v>
      </c>
      <c r="G322" s="20" t="s">
        <v>58</v>
      </c>
      <c r="H322" s="20">
        <v>42</v>
      </c>
      <c r="I322" s="20" t="s">
        <v>43</v>
      </c>
      <c r="J322" s="20" t="s">
        <v>33</v>
      </c>
      <c r="K322" s="20" t="s">
        <v>34</v>
      </c>
      <c r="L322" s="20" t="s">
        <v>38</v>
      </c>
      <c r="M322" s="20">
        <v>0.98</v>
      </c>
      <c r="N322" s="20">
        <v>42.3</v>
      </c>
      <c r="O322" s="20">
        <v>14.7</v>
      </c>
      <c r="P322" s="20">
        <v>42</v>
      </c>
      <c r="Q322" s="8">
        <v>40000000</v>
      </c>
      <c r="R322" s="8">
        <v>40770470</v>
      </c>
      <c r="S322" s="8">
        <v>-811771</v>
      </c>
      <c r="T322" s="20">
        <v>306</v>
      </c>
      <c r="U322" s="20">
        <v>338</v>
      </c>
      <c r="V322" s="20"/>
      <c r="W322" s="8">
        <v>-463383</v>
      </c>
      <c r="X322" s="20" t="s">
        <v>1045</v>
      </c>
      <c r="Y322" s="20" t="s">
        <v>1046</v>
      </c>
      <c r="Z322" s="20" t="s">
        <v>1047</v>
      </c>
      <c r="AA322" s="20" t="s">
        <v>1048</v>
      </c>
      <c r="AB322" s="4"/>
      <c r="AC322" s="8">
        <v>58800</v>
      </c>
      <c r="AD322" s="8">
        <v>1412483.8030335391</v>
      </c>
      <c r="AE322" s="8">
        <v>2086626.951527488</v>
      </c>
      <c r="AF322" s="8">
        <f>VALUE(SUBSTITUTE(LEFT(Z322, FIND(" ", Z322) - 1), ",", ""))</f>
        <v>342572</v>
      </c>
      <c r="AG322" s="15">
        <f ca="1">(AF322/YEARFRAC(A322,TODAY())/P322)</f>
        <v>4853.4403778040141</v>
      </c>
      <c r="AI322" s="8">
        <f>VALUE(SUBSTITUTE(LEFT(X322, FIND(" ", X322) - 1), ",", ""))</f>
        <v>707233</v>
      </c>
      <c r="AK322" s="20" t="str">
        <f>IF(AI322&gt;AC322, "YES","")</f>
        <v>YES</v>
      </c>
    </row>
    <row r="323" spans="1:37" x14ac:dyDescent="0.25">
      <c r="A323" s="5">
        <v>45401</v>
      </c>
      <c r="B323" s="20" t="s">
        <v>35</v>
      </c>
      <c r="C323" s="20">
        <v>40</v>
      </c>
      <c r="D323" s="20" t="s">
        <v>36</v>
      </c>
      <c r="E323" s="20" t="s">
        <v>33</v>
      </c>
      <c r="F323" s="20" t="s">
        <v>37</v>
      </c>
      <c r="G323" s="20" t="s">
        <v>35</v>
      </c>
      <c r="H323" s="20">
        <v>41</v>
      </c>
      <c r="I323" s="20" t="s">
        <v>43</v>
      </c>
      <c r="J323" s="20" t="s">
        <v>33</v>
      </c>
      <c r="K323" s="20" t="s">
        <v>34</v>
      </c>
      <c r="L323" s="20" t="s">
        <v>38</v>
      </c>
      <c r="M323" s="20">
        <v>0.87</v>
      </c>
      <c r="N323" s="20">
        <v>311.2</v>
      </c>
      <c r="O323" s="20">
        <v>91.3</v>
      </c>
      <c r="P323" s="20">
        <v>77.599999999999994</v>
      </c>
      <c r="Q323" s="8">
        <v>35000000</v>
      </c>
      <c r="R323" s="8">
        <v>40337567</v>
      </c>
      <c r="S323" s="8">
        <v>-3136191</v>
      </c>
      <c r="T323" s="20">
        <v>84</v>
      </c>
      <c r="U323" s="20">
        <v>334</v>
      </c>
      <c r="V323" s="20"/>
      <c r="W323" s="8">
        <v>-2813694</v>
      </c>
      <c r="X323" s="20" t="s">
        <v>688</v>
      </c>
      <c r="Y323" s="20" t="s">
        <v>689</v>
      </c>
      <c r="Z323" s="20" t="s">
        <v>690</v>
      </c>
      <c r="AA323" s="20" t="s">
        <v>691</v>
      </c>
      <c r="AB323" s="4"/>
      <c r="AC323" s="8">
        <v>319550</v>
      </c>
      <c r="AD323" s="8">
        <v>5590939.643987406</v>
      </c>
      <c r="AE323" s="8">
        <v>2100620.9175105728</v>
      </c>
      <c r="AF323" s="8">
        <f>VALUE(SUBSTITUTE(LEFT(Z323, FIND(" ", Z323) - 1), ",", ""))</f>
        <v>3770185</v>
      </c>
      <c r="AG323" s="15">
        <f ca="1">(AF323/YEARFRAC(A323,TODAY())/P323)</f>
        <v>29644.998252664693</v>
      </c>
      <c r="AI323" s="8">
        <f>VALUE(SUBSTITUTE(LEFT(X323, FIND(" ", X323) - 1), ",", ""))</f>
        <v>3824488</v>
      </c>
      <c r="AK323" s="20" t="str">
        <f>IF(AI323&gt;AC323, "YES","")</f>
        <v>YES</v>
      </c>
    </row>
    <row r="324" spans="1:37" x14ac:dyDescent="0.25">
      <c r="A324" s="5">
        <v>45265</v>
      </c>
      <c r="B324" s="20" t="s">
        <v>35</v>
      </c>
      <c r="C324" s="20">
        <v>39</v>
      </c>
      <c r="D324" s="20" t="s">
        <v>43</v>
      </c>
      <c r="E324" s="20" t="s">
        <v>33</v>
      </c>
      <c r="F324" s="20" t="s">
        <v>37</v>
      </c>
      <c r="G324" s="20" t="s">
        <v>58</v>
      </c>
      <c r="H324" s="20">
        <v>40</v>
      </c>
      <c r="I324" s="20" t="s">
        <v>43</v>
      </c>
      <c r="J324" s="20" t="s">
        <v>33</v>
      </c>
      <c r="K324" s="20" t="s">
        <v>34</v>
      </c>
      <c r="L324" s="20" t="s">
        <v>38</v>
      </c>
      <c r="M324" s="20">
        <v>0.99</v>
      </c>
      <c r="N324" s="20">
        <v>81.3</v>
      </c>
      <c r="O324" s="20">
        <v>108.4</v>
      </c>
      <c r="P324" s="20">
        <v>29</v>
      </c>
      <c r="Q324" s="8">
        <v>39498458</v>
      </c>
      <c r="R324" s="8">
        <v>40000000</v>
      </c>
      <c r="S324" s="8">
        <v>-1581349</v>
      </c>
      <c r="T324" s="20">
        <v>305</v>
      </c>
      <c r="U324" s="20">
        <v>379</v>
      </c>
      <c r="V324" s="20"/>
      <c r="W324" s="8">
        <v>-353978</v>
      </c>
      <c r="X324" s="20" t="s">
        <v>360</v>
      </c>
      <c r="Y324" s="20" t="s">
        <v>361</v>
      </c>
      <c r="Z324" s="20" t="s">
        <v>362</v>
      </c>
      <c r="AA324" s="20" t="s">
        <v>363</v>
      </c>
      <c r="AB324" s="4"/>
      <c r="AC324" s="8">
        <v>428163.28472000011</v>
      </c>
      <c r="AD324" s="8">
        <v>1413940.518628337</v>
      </c>
      <c r="AE324" s="8">
        <v>2192058.9652791801</v>
      </c>
      <c r="AF324" s="8">
        <f>VALUE(SUBSTITUTE(LEFT(Z324, FIND(" ", Z324) - 1), ",", ""))</f>
        <v>1066194</v>
      </c>
      <c r="AG324" s="15">
        <f ca="1">(AF324/YEARFRAC(A324,TODAY())/P324)</f>
        <v>18281.093541626975</v>
      </c>
      <c r="AI324" s="8">
        <f>VALUE(SUBSTITUTE(LEFT(X324, FIND(" ", X324) - 1), ",", ""))</f>
        <v>1204519</v>
      </c>
      <c r="AK324" s="20" t="str">
        <f>IF(AI324&gt;AC324, "YES","")</f>
        <v>YES</v>
      </c>
    </row>
    <row r="325" spans="1:37" x14ac:dyDescent="0.25">
      <c r="A325" s="5">
        <v>44636</v>
      </c>
      <c r="B325" s="20" t="s">
        <v>58</v>
      </c>
      <c r="C325" s="20">
        <v>37</v>
      </c>
      <c r="D325" s="20" t="s">
        <v>68</v>
      </c>
      <c r="E325" s="20" t="s">
        <v>33</v>
      </c>
      <c r="F325" s="20" t="s">
        <v>34</v>
      </c>
      <c r="G325" s="20" t="s">
        <v>44</v>
      </c>
      <c r="H325" s="20">
        <v>34</v>
      </c>
      <c r="I325" s="20" t="s">
        <v>122</v>
      </c>
      <c r="J325" s="20" t="s">
        <v>33</v>
      </c>
      <c r="K325" s="20" t="s">
        <v>37</v>
      </c>
      <c r="L325" s="20" t="s">
        <v>38</v>
      </c>
      <c r="M325" s="20">
        <v>0.2</v>
      </c>
      <c r="N325" s="20">
        <v>1044</v>
      </c>
      <c r="O325" s="20">
        <v>565.20000000000005</v>
      </c>
      <c r="P325" s="20">
        <v>162.6</v>
      </c>
      <c r="Q325" s="8">
        <v>5000000</v>
      </c>
      <c r="R325" s="8">
        <v>24459085</v>
      </c>
      <c r="S325" s="8">
        <v>-792251</v>
      </c>
      <c r="T325" s="20">
        <v>569</v>
      </c>
      <c r="U325" s="20">
        <v>-96</v>
      </c>
      <c r="V325" s="20"/>
      <c r="W325" s="8">
        <v>-792251</v>
      </c>
      <c r="X325" s="20" t="s">
        <v>146</v>
      </c>
      <c r="Y325" s="20" t="s">
        <v>147</v>
      </c>
      <c r="Z325" s="20" t="s">
        <v>148</v>
      </c>
      <c r="AA325" s="20" t="s">
        <v>149</v>
      </c>
      <c r="AB325" s="4"/>
      <c r="AC325" s="8">
        <v>282600.00000000012</v>
      </c>
      <c r="AD325" s="8">
        <v>2239260.566735113</v>
      </c>
      <c r="AE325" s="8">
        <v>2239260.566735113</v>
      </c>
      <c r="AF325" s="8">
        <f>VALUE(SUBSTITUTE(LEFT(Z325, FIND(" ", Z325) - 1), ",", ""))</f>
        <v>2173295</v>
      </c>
      <c r="AG325" s="15">
        <f ca="1">(AF325/YEARFRAC(A325,TODAY())/P325)</f>
        <v>3582.8170120867258</v>
      </c>
      <c r="AI325" s="8">
        <f>VALUE(SUBSTITUTE(LEFT(X325, FIND(" ", X325) - 1), ",", ""))</f>
        <v>2368593</v>
      </c>
      <c r="AK325" s="20" t="str">
        <f>IF(AI325&gt;AC325, "YES","")</f>
        <v>YES</v>
      </c>
    </row>
    <row r="326" spans="1:37" x14ac:dyDescent="0.25">
      <c r="A326" s="5">
        <v>44917</v>
      </c>
      <c r="B326" s="20" t="s">
        <v>35</v>
      </c>
      <c r="C326" s="20">
        <v>36</v>
      </c>
      <c r="D326" s="20" t="s">
        <v>36</v>
      </c>
      <c r="E326" s="20" t="s">
        <v>33</v>
      </c>
      <c r="F326" s="20" t="s">
        <v>37</v>
      </c>
      <c r="G326" s="20" t="s">
        <v>35</v>
      </c>
      <c r="H326" s="20">
        <v>38</v>
      </c>
      <c r="I326" s="20" t="s">
        <v>82</v>
      </c>
      <c r="J326" s="20" t="s">
        <v>33</v>
      </c>
      <c r="K326" s="20" t="s">
        <v>34</v>
      </c>
      <c r="L326" s="20" t="s">
        <v>38</v>
      </c>
      <c r="M326" s="20">
        <v>1.86</v>
      </c>
      <c r="N326" s="20">
        <v>489.9</v>
      </c>
      <c r="O326" s="20">
        <v>73</v>
      </c>
      <c r="P326" s="20">
        <v>685.8</v>
      </c>
      <c r="Q326" s="8">
        <v>9286418</v>
      </c>
      <c r="R326" s="8">
        <v>5000000</v>
      </c>
      <c r="S326" s="8">
        <v>-2786514</v>
      </c>
      <c r="T326" s="20">
        <v>114</v>
      </c>
      <c r="U326" s="20">
        <v>1082</v>
      </c>
      <c r="V326" s="20"/>
      <c r="W326" s="8">
        <v>-2537596</v>
      </c>
      <c r="X326" s="20" t="s">
        <v>222</v>
      </c>
      <c r="Y326" s="20" t="s">
        <v>223</v>
      </c>
      <c r="Z326" s="20" t="s">
        <v>224</v>
      </c>
      <c r="AA326" s="20" t="s">
        <v>42</v>
      </c>
      <c r="AB326" s="4"/>
      <c r="AC326" s="8">
        <v>67790.8514</v>
      </c>
      <c r="AD326" s="8">
        <v>2278786.376381109</v>
      </c>
      <c r="AE326" s="8">
        <v>2278786.376381109</v>
      </c>
      <c r="AF326" s="8">
        <f>VALUE(SUBSTITUTE(LEFT(Z326, FIND(" ", Z326) - 1), ",", ""))</f>
        <v>2539628</v>
      </c>
      <c r="AG326" s="15">
        <f ca="1">(AF326/YEARFRAC(A326,TODAY())/P326)</f>
        <v>1249.426483357809</v>
      </c>
      <c r="AI326" s="8">
        <f>VALUE(SUBSTITUTE(LEFT(X326, FIND(" ", X326) - 1), ",", ""))</f>
        <v>2548742</v>
      </c>
      <c r="AK326" s="20" t="str">
        <f>IF(AI326&gt;AC326, "YES","")</f>
        <v>YES</v>
      </c>
    </row>
    <row r="327" spans="1:37" x14ac:dyDescent="0.25">
      <c r="A327" s="5">
        <v>44917</v>
      </c>
      <c r="B327" s="20" t="s">
        <v>44</v>
      </c>
      <c r="C327" s="20">
        <v>38</v>
      </c>
      <c r="D327" s="20" t="s">
        <v>122</v>
      </c>
      <c r="E327" s="20" t="s">
        <v>33</v>
      </c>
      <c r="F327" s="20" t="s">
        <v>37</v>
      </c>
      <c r="G327" s="20" t="s">
        <v>35</v>
      </c>
      <c r="H327" s="20">
        <v>38</v>
      </c>
      <c r="I327" s="20" t="s">
        <v>82</v>
      </c>
      <c r="J327" s="20" t="s">
        <v>33</v>
      </c>
      <c r="K327" s="20" t="s">
        <v>34</v>
      </c>
      <c r="L327" s="20" t="s">
        <v>38</v>
      </c>
      <c r="M327" s="20">
        <v>2.59</v>
      </c>
      <c r="N327" s="20">
        <v>385.5</v>
      </c>
      <c r="O327" s="20">
        <v>54.5</v>
      </c>
      <c r="P327" s="20">
        <v>678.3</v>
      </c>
      <c r="Q327" s="8">
        <v>12941556</v>
      </c>
      <c r="R327" s="8">
        <v>5000000</v>
      </c>
      <c r="S327" s="8">
        <v>-1748075</v>
      </c>
      <c r="T327" s="20">
        <v>44</v>
      </c>
      <c r="U327" s="20">
        <v>1082</v>
      </c>
      <c r="V327" s="20"/>
      <c r="W327" s="8">
        <v>-1553702</v>
      </c>
      <c r="X327" s="20" t="s">
        <v>225</v>
      </c>
      <c r="Y327" s="20" t="s">
        <v>226</v>
      </c>
      <c r="Z327" s="20" t="s">
        <v>227</v>
      </c>
      <c r="AA327" s="20" t="s">
        <v>42</v>
      </c>
      <c r="AB327" s="4"/>
      <c r="AC327" s="8">
        <v>70531.480200000005</v>
      </c>
      <c r="AD327" s="8">
        <v>2417303.896417249</v>
      </c>
      <c r="AE327" s="8">
        <v>2417303.896417249</v>
      </c>
      <c r="AF327" s="8">
        <f>VALUE(SUBSTITUTE(LEFT(Z327, FIND(" ", Z327) - 1), ",", ""))</f>
        <v>2435731</v>
      </c>
      <c r="AG327" s="15">
        <f ca="1">(AF327/YEARFRAC(A327,TODAY())/P327)</f>
        <v>1211.5618446855879</v>
      </c>
      <c r="AI327" s="8">
        <f>VALUE(SUBSTITUTE(LEFT(X327, FIND(" ", X327) - 1), ",", ""))</f>
        <v>2448362</v>
      </c>
      <c r="AK327" s="20" t="str">
        <f>IF(AI327&gt;AC327, "YES","")</f>
        <v>YES</v>
      </c>
    </row>
    <row r="328" spans="1:37" x14ac:dyDescent="0.25">
      <c r="A328" s="17">
        <v>45901</v>
      </c>
      <c r="B328" s="12" t="s">
        <v>35</v>
      </c>
      <c r="C328" s="12">
        <v>43</v>
      </c>
      <c r="D328" s="12" t="s">
        <v>43</v>
      </c>
      <c r="E328" s="12" t="s">
        <v>33</v>
      </c>
      <c r="F328" s="12" t="s">
        <v>37</v>
      </c>
      <c r="G328" s="12" t="s">
        <v>58</v>
      </c>
      <c r="H328" s="12">
        <v>44</v>
      </c>
      <c r="I328" s="12" t="s">
        <v>43</v>
      </c>
      <c r="J328" s="12" t="s">
        <v>33</v>
      </c>
      <c r="K328" s="12" t="s">
        <v>34</v>
      </c>
      <c r="L328" s="12" t="s">
        <v>38</v>
      </c>
      <c r="M328" s="12">
        <v>0.98</v>
      </c>
      <c r="N328" s="12">
        <v>18.3</v>
      </c>
      <c r="O328" s="12">
        <v>44</v>
      </c>
      <c r="P328" s="12">
        <v>362.7</v>
      </c>
      <c r="Q328" s="16">
        <v>49200000</v>
      </c>
      <c r="R328" s="16">
        <v>50000000</v>
      </c>
      <c r="S328" s="16">
        <v>-1855370</v>
      </c>
      <c r="T328" s="12">
        <v>269</v>
      </c>
      <c r="U328" s="12">
        <v>325</v>
      </c>
      <c r="V328" s="12"/>
      <c r="W328" s="16">
        <v>2517701</v>
      </c>
      <c r="X328" s="12" t="s">
        <v>1185</v>
      </c>
      <c r="Y328" s="12" t="s">
        <v>1186</v>
      </c>
      <c r="Z328" s="12" t="s">
        <v>1187</v>
      </c>
      <c r="AA328" s="12"/>
      <c r="AB328" s="24"/>
      <c r="AC328" s="25">
        <v>216480</v>
      </c>
      <c r="AD328" s="25">
        <v>1447130.8966461329</v>
      </c>
      <c r="AE328" s="26">
        <v>2428430.936295717</v>
      </c>
      <c r="AF328" s="26">
        <f>VALUE(SUBSTITUTE(LEFT(Z328, FIND(" ", Z328) - 1), ",", ""))</f>
        <v>-14724</v>
      </c>
      <c r="AG328" s="27">
        <f ca="1">(AF328/YEARFRAC(A328,TODAY())/P328)</f>
        <v>-149.1264495872791</v>
      </c>
      <c r="AH328" s="24"/>
      <c r="AI328" s="25">
        <f>VALUE(SUBSTITUTE(LEFT(X328, FIND(" ", X328) - 1), ",", ""))</f>
        <v>134953</v>
      </c>
      <c r="AJ328" s="24"/>
      <c r="AK328" s="24" t="str">
        <f>IF(AI328&gt;AC328, "YES","")</f>
        <v/>
      </c>
    </row>
    <row r="329" spans="1:37" x14ac:dyDescent="0.25">
      <c r="A329" s="5">
        <v>45512</v>
      </c>
      <c r="B329" s="20" t="s">
        <v>35</v>
      </c>
      <c r="C329" s="20">
        <v>39</v>
      </c>
      <c r="D329" s="20" t="s">
        <v>43</v>
      </c>
      <c r="E329" s="20" t="s">
        <v>33</v>
      </c>
      <c r="F329" s="20" t="s">
        <v>37</v>
      </c>
      <c r="G329" s="20" t="s">
        <v>58</v>
      </c>
      <c r="H329" s="20">
        <v>42</v>
      </c>
      <c r="I329" s="20" t="s">
        <v>43</v>
      </c>
      <c r="J329" s="20" t="s">
        <v>33</v>
      </c>
      <c r="K329" s="20" t="s">
        <v>34</v>
      </c>
      <c r="L329" s="20" t="s">
        <v>38</v>
      </c>
      <c r="M329" s="20">
        <v>0.9</v>
      </c>
      <c r="N329" s="20">
        <v>136.80000000000001</v>
      </c>
      <c r="O329" s="20">
        <v>40.9</v>
      </c>
      <c r="P329" s="20">
        <v>93.2</v>
      </c>
      <c r="Q329" s="8">
        <v>25000000</v>
      </c>
      <c r="R329" s="8">
        <v>27688886</v>
      </c>
      <c r="S329" s="8">
        <v>-674496</v>
      </c>
      <c r="T329" s="20">
        <v>272</v>
      </c>
      <c r="U329" s="20">
        <v>366</v>
      </c>
      <c r="V329" s="20"/>
      <c r="W329" s="8">
        <v>-396405</v>
      </c>
      <c r="X329" s="20" t="s">
        <v>492</v>
      </c>
      <c r="Y329" s="20" t="s">
        <v>493</v>
      </c>
      <c r="Z329" s="20" t="s">
        <v>494</v>
      </c>
      <c r="AA329" s="20" t="s">
        <v>495</v>
      </c>
      <c r="AB329" s="4"/>
      <c r="AC329" s="8">
        <v>102250</v>
      </c>
      <c r="AD329" s="8">
        <v>2301643.5467356611</v>
      </c>
      <c r="AE329" s="8">
        <v>2458181.6250506281</v>
      </c>
      <c r="AF329" s="8">
        <f>VALUE(SUBSTITUTE(LEFT(Z329, FIND(" ", Z329) - 1), ",", ""))</f>
        <v>847123</v>
      </c>
      <c r="AG329" s="15">
        <f ca="1">(AF329/YEARFRAC(A329,TODAY())/P329)</f>
        <v>6802.804422117727</v>
      </c>
      <c r="AI329" s="8">
        <f>VALUE(SUBSTITUTE(LEFT(X329, FIND(" ", X329) - 1), ",", ""))</f>
        <v>847123</v>
      </c>
      <c r="AK329" s="20" t="str">
        <f>IF(AI329&gt;AC329, "YES","")</f>
        <v>YES</v>
      </c>
    </row>
    <row r="330" spans="1:37" x14ac:dyDescent="0.25">
      <c r="A330" s="5">
        <v>44917</v>
      </c>
      <c r="B330" s="20" t="s">
        <v>44</v>
      </c>
      <c r="C330" s="20">
        <v>36</v>
      </c>
      <c r="D330" s="20" t="s">
        <v>122</v>
      </c>
      <c r="E330" s="20" t="s">
        <v>33</v>
      </c>
      <c r="F330" s="20" t="s">
        <v>37</v>
      </c>
      <c r="G330" s="20" t="s">
        <v>35</v>
      </c>
      <c r="H330" s="20">
        <v>38</v>
      </c>
      <c r="I330" s="20" t="s">
        <v>82</v>
      </c>
      <c r="J330" s="20" t="s">
        <v>33</v>
      </c>
      <c r="K330" s="20" t="s">
        <v>34</v>
      </c>
      <c r="L330" s="20" t="s">
        <v>38</v>
      </c>
      <c r="M330" s="20">
        <v>2.6</v>
      </c>
      <c r="N330" s="20">
        <v>393.5</v>
      </c>
      <c r="O330" s="20">
        <v>58.7</v>
      </c>
      <c r="P330" s="20">
        <v>650.70000000000005</v>
      </c>
      <c r="Q330" s="8">
        <v>13021255</v>
      </c>
      <c r="R330" s="8">
        <v>5000000</v>
      </c>
      <c r="S330" s="8">
        <v>-1735737</v>
      </c>
      <c r="T330" s="20">
        <v>35</v>
      </c>
      <c r="U330" s="20">
        <v>1082</v>
      </c>
      <c r="V330" s="20"/>
      <c r="W330" s="8">
        <v>-1605982</v>
      </c>
      <c r="X330" s="20" t="s">
        <v>228</v>
      </c>
      <c r="Y330" s="20" t="s">
        <v>229</v>
      </c>
      <c r="Z330" s="20" t="s">
        <v>230</v>
      </c>
      <c r="AA330" s="20" t="s">
        <v>231</v>
      </c>
      <c r="AB330" s="4"/>
      <c r="AC330" s="8">
        <v>76434.76685</v>
      </c>
      <c r="AD330" s="8">
        <v>2519619.3329021218</v>
      </c>
      <c r="AE330" s="8">
        <v>2519619.3329021218</v>
      </c>
      <c r="AF330" s="8">
        <f>VALUE(SUBSTITUTE(LEFT(Z330, FIND(" ", Z330) - 1), ",", ""))</f>
        <v>2513618</v>
      </c>
      <c r="AG330" s="15">
        <f ca="1">(AF330/YEARFRAC(A330,TODAY())/P330)</f>
        <v>1303.3364832825841</v>
      </c>
      <c r="AI330" s="8">
        <f>VALUE(SUBSTITUTE(LEFT(X330, FIND(" ", X330) - 1), ",", ""))</f>
        <v>2527378</v>
      </c>
      <c r="AK330" s="20" t="str">
        <f>IF(AI330&gt;AC330, "YES","")</f>
        <v>YES</v>
      </c>
    </row>
    <row r="331" spans="1:37" x14ac:dyDescent="0.25">
      <c r="A331" s="5">
        <v>45714</v>
      </c>
      <c r="B331" s="20" t="s">
        <v>35</v>
      </c>
      <c r="C331" s="20">
        <v>41</v>
      </c>
      <c r="D331" s="20" t="s">
        <v>43</v>
      </c>
      <c r="E331" s="20" t="s">
        <v>33</v>
      </c>
      <c r="F331" s="20" t="s">
        <v>37</v>
      </c>
      <c r="G331" s="20" t="s">
        <v>58</v>
      </c>
      <c r="H331" s="20">
        <v>43</v>
      </c>
      <c r="I331" s="20" t="s">
        <v>43</v>
      </c>
      <c r="J331" s="20" t="s">
        <v>33</v>
      </c>
      <c r="K331" s="20" t="s">
        <v>34</v>
      </c>
      <c r="L331" s="20" t="s">
        <v>38</v>
      </c>
      <c r="M331" s="20">
        <v>0.96</v>
      </c>
      <c r="N331" s="20">
        <v>80.2</v>
      </c>
      <c r="O331" s="20">
        <v>63.5</v>
      </c>
      <c r="P331" s="20">
        <v>35.1</v>
      </c>
      <c r="Q331" s="8">
        <v>40000000</v>
      </c>
      <c r="R331" s="8">
        <v>41636363</v>
      </c>
      <c r="S331" s="8">
        <v>-1184917</v>
      </c>
      <c r="T331" s="20">
        <v>240</v>
      </c>
      <c r="U331" s="20">
        <v>305</v>
      </c>
      <c r="V331" s="20"/>
      <c r="W331" s="8">
        <v>1045401</v>
      </c>
      <c r="X331" s="20" t="s">
        <v>978</v>
      </c>
      <c r="Y331" s="20" t="s">
        <v>979</v>
      </c>
      <c r="Z331" s="20" t="s">
        <v>980</v>
      </c>
      <c r="AA331" s="20"/>
      <c r="AB331" s="4"/>
      <c r="AC331" s="8">
        <v>254000</v>
      </c>
      <c r="AD331" s="8">
        <v>1972621.896501028</v>
      </c>
      <c r="AE331" s="8">
        <v>2554340.7883753371</v>
      </c>
      <c r="AF331" s="8">
        <f>VALUE(SUBSTITUTE(LEFT(Z331, FIND(" ", Z331) - 1), ",", ""))</f>
        <v>149153</v>
      </c>
      <c r="AG331" s="15">
        <f ca="1">(AF331/YEARFRAC(A331,TODAY())/P331)</f>
        <v>5405.5631059164625</v>
      </c>
      <c r="AI331" s="8">
        <f>VALUE(SUBSTITUTE(LEFT(X331, FIND(" ", X331) - 1), ",", ""))</f>
        <v>428285</v>
      </c>
      <c r="AK331" s="20" t="str">
        <f>IF(AI331&gt;AC331, "YES","")</f>
        <v>YES</v>
      </c>
    </row>
    <row r="332" spans="1:37" x14ac:dyDescent="0.25">
      <c r="A332" s="5">
        <v>45561</v>
      </c>
      <c r="B332" s="20" t="s">
        <v>35</v>
      </c>
      <c r="C332" s="20">
        <v>41</v>
      </c>
      <c r="D332" s="20" t="s">
        <v>43</v>
      </c>
      <c r="E332" s="20" t="s">
        <v>33</v>
      </c>
      <c r="F332" s="20" t="s">
        <v>37</v>
      </c>
      <c r="G332" s="20" t="s">
        <v>58</v>
      </c>
      <c r="H332" s="20">
        <v>43</v>
      </c>
      <c r="I332" s="20" t="s">
        <v>43</v>
      </c>
      <c r="J332" s="20" t="s">
        <v>33</v>
      </c>
      <c r="K332" s="20" t="s">
        <v>34</v>
      </c>
      <c r="L332" s="20" t="s">
        <v>38</v>
      </c>
      <c r="M332" s="20">
        <v>0.98</v>
      </c>
      <c r="N332" s="20">
        <v>90</v>
      </c>
      <c r="O332" s="20">
        <v>44.2</v>
      </c>
      <c r="P332" s="20">
        <v>45.4</v>
      </c>
      <c r="Q332" s="8">
        <v>40000000</v>
      </c>
      <c r="R332" s="8">
        <v>40935533</v>
      </c>
      <c r="S332" s="8">
        <v>-1616140</v>
      </c>
      <c r="T332" s="20">
        <v>271</v>
      </c>
      <c r="U332" s="20">
        <v>349</v>
      </c>
      <c r="V332" s="20"/>
      <c r="W332" s="8">
        <v>-296323</v>
      </c>
      <c r="X332" s="20" t="s">
        <v>864</v>
      </c>
      <c r="Y332" s="20" t="s">
        <v>865</v>
      </c>
      <c r="Z332" s="20" t="s">
        <v>866</v>
      </c>
      <c r="AA332" s="20" t="s">
        <v>867</v>
      </c>
      <c r="AB332" s="4"/>
      <c r="AC332" s="8">
        <v>176800</v>
      </c>
      <c r="AD332" s="8">
        <v>2346333.5916459961</v>
      </c>
      <c r="AE332" s="8">
        <v>3010844.7056826092</v>
      </c>
      <c r="AF332" s="8">
        <f>VALUE(SUBSTITUTE(LEFT(Z332, FIND(" ", Z332) - 1), ",", ""))</f>
        <v>634133</v>
      </c>
      <c r="AG332" s="15">
        <f ca="1">(AF332/YEARFRAC(A332,TODAY())/P332)</f>
        <v>11612.857738755329</v>
      </c>
      <c r="AI332" s="8">
        <f>VALUE(SUBSTITUTE(LEFT(X332, FIND(" ", X332) - 1), ",", ""))</f>
        <v>1118592</v>
      </c>
      <c r="AK332" s="20" t="str">
        <f>IF(AI332&gt;AC332, "YES","")</f>
        <v>YES</v>
      </c>
    </row>
    <row r="333" spans="1:37" x14ac:dyDescent="0.25">
      <c r="A333" s="17">
        <v>45667</v>
      </c>
      <c r="B333" s="12" t="s">
        <v>35</v>
      </c>
      <c r="C333" s="12">
        <v>42</v>
      </c>
      <c r="D333" s="12" t="s">
        <v>36</v>
      </c>
      <c r="E333" s="12" t="s">
        <v>33</v>
      </c>
      <c r="F333" s="12" t="s">
        <v>37</v>
      </c>
      <c r="G333" s="12" t="s">
        <v>58</v>
      </c>
      <c r="H333" s="12">
        <v>43</v>
      </c>
      <c r="I333" s="12" t="s">
        <v>43</v>
      </c>
      <c r="J333" s="12" t="s">
        <v>33</v>
      </c>
      <c r="K333" s="12" t="s">
        <v>34</v>
      </c>
      <c r="L333" s="12" t="s">
        <v>38</v>
      </c>
      <c r="M333" s="12">
        <v>0.69</v>
      </c>
      <c r="N333" s="12">
        <v>366.9</v>
      </c>
      <c r="O333" s="12">
        <v>31.4</v>
      </c>
      <c r="P333" s="12">
        <v>159.1</v>
      </c>
      <c r="Q333" s="16">
        <v>34500000</v>
      </c>
      <c r="R333" s="16">
        <v>50000000</v>
      </c>
      <c r="S333" s="16">
        <v>-3105875</v>
      </c>
      <c r="T333" s="12">
        <v>92</v>
      </c>
      <c r="U333" s="12">
        <v>318</v>
      </c>
      <c r="V333" s="12"/>
      <c r="W333" s="16">
        <v>-465491</v>
      </c>
      <c r="X333" s="12" t="s">
        <v>1099</v>
      </c>
      <c r="Y333" s="12" t="s">
        <v>1100</v>
      </c>
      <c r="Z333" s="12" t="s">
        <v>1101</v>
      </c>
      <c r="AA333" s="12" t="s">
        <v>1102</v>
      </c>
      <c r="AB333" s="4"/>
      <c r="AC333" s="8">
        <v>108330</v>
      </c>
      <c r="AD333" s="8">
        <v>6288960.9856262831</v>
      </c>
      <c r="AE333" s="8">
        <v>3104669.2783010881</v>
      </c>
      <c r="AF333" s="8">
        <f>VALUE(SUBSTITUTE(LEFT(Z333, FIND(" ", Z333) - 1), ",", ""))</f>
        <v>1410977</v>
      </c>
      <c r="AG333" s="15">
        <f ca="1">(AF333/YEARFRAC(A333,TODAY())/P333)</f>
        <v>9704.1244538523115</v>
      </c>
      <c r="AI333" s="8">
        <f>VALUE(SUBSTITUTE(LEFT(X333, FIND(" ", X333) - 1), ",", ""))</f>
        <v>1544946</v>
      </c>
      <c r="AK333" s="20" t="str">
        <f>IF(AI333&gt;AC333, "YES","")</f>
        <v>YES</v>
      </c>
    </row>
    <row r="334" spans="1:37" x14ac:dyDescent="0.25">
      <c r="A334" s="5">
        <v>44701</v>
      </c>
      <c r="B334" s="20" t="s">
        <v>35</v>
      </c>
      <c r="C334" s="20">
        <v>36</v>
      </c>
      <c r="D334" s="20" t="s">
        <v>43</v>
      </c>
      <c r="E334" s="20" t="s">
        <v>33</v>
      </c>
      <c r="F334" s="20" t="s">
        <v>34</v>
      </c>
      <c r="G334" s="20" t="s">
        <v>44</v>
      </c>
      <c r="H334" s="20">
        <v>36</v>
      </c>
      <c r="I334" s="20" t="s">
        <v>122</v>
      </c>
      <c r="J334" s="20" t="s">
        <v>33</v>
      </c>
      <c r="K334" s="20" t="s">
        <v>37</v>
      </c>
      <c r="L334" s="20" t="s">
        <v>38</v>
      </c>
      <c r="M334" s="20">
        <v>0.69</v>
      </c>
      <c r="N334" s="20">
        <v>390.5</v>
      </c>
      <c r="O334" s="20">
        <v>36.1</v>
      </c>
      <c r="P334" s="20">
        <v>217.2</v>
      </c>
      <c r="Q334" s="8">
        <v>40000000</v>
      </c>
      <c r="R334" s="8">
        <v>57991521</v>
      </c>
      <c r="S334" s="8">
        <v>-675116</v>
      </c>
      <c r="T334" s="20">
        <v>460</v>
      </c>
      <c r="U334" s="20">
        <v>47</v>
      </c>
      <c r="V334" s="20"/>
      <c r="W334" s="8">
        <v>311920</v>
      </c>
      <c r="X334" s="20" t="s">
        <v>153</v>
      </c>
      <c r="Y334" s="20" t="s">
        <v>154</v>
      </c>
      <c r="Z334" s="20" t="s">
        <v>155</v>
      </c>
      <c r="AA334" s="20" t="s">
        <v>156</v>
      </c>
      <c r="AB334" s="4"/>
      <c r="AC334" s="8">
        <v>144400</v>
      </c>
      <c r="AD334" s="8">
        <v>7188122.5213620812</v>
      </c>
      <c r="AE334" s="8">
        <v>3897765.922367793</v>
      </c>
      <c r="AF334" s="8">
        <f>VALUE(SUBSTITUTE(LEFT(Z334, FIND(" ", Z334) - 1), ",", ""))</f>
        <v>6694507</v>
      </c>
      <c r="AG334" s="15">
        <f ca="1">(AF334/YEARFRAC(A334,TODAY())/P334)</f>
        <v>8675.4245158726389</v>
      </c>
      <c r="AI334" s="8">
        <f>VALUE(SUBSTITUTE(LEFT(X334, FIND(" ", X334) - 1), ",", ""))</f>
        <v>6703072</v>
      </c>
      <c r="AK334" s="20" t="str">
        <f>IF(AI334&gt;AC334, "YES","")</f>
        <v>YES</v>
      </c>
    </row>
    <row r="335" spans="1:37" x14ac:dyDescent="0.25">
      <c r="A335" s="5">
        <v>45512</v>
      </c>
      <c r="B335" s="20" t="s">
        <v>35</v>
      </c>
      <c r="C335" s="20">
        <v>40</v>
      </c>
      <c r="D335" s="20" t="s">
        <v>36</v>
      </c>
      <c r="E335" s="20" t="s">
        <v>33</v>
      </c>
      <c r="F335" s="20" t="s">
        <v>37</v>
      </c>
      <c r="G335" s="20" t="s">
        <v>58</v>
      </c>
      <c r="H335" s="20">
        <v>42</v>
      </c>
      <c r="I335" s="20" t="s">
        <v>43</v>
      </c>
      <c r="J335" s="20" t="s">
        <v>33</v>
      </c>
      <c r="K335" s="20" t="s">
        <v>34</v>
      </c>
      <c r="L335" s="20" t="s">
        <v>38</v>
      </c>
      <c r="M335" s="20">
        <v>0.73</v>
      </c>
      <c r="N335" s="20">
        <v>429.6</v>
      </c>
      <c r="O335" s="20">
        <v>100</v>
      </c>
      <c r="P335" s="20">
        <v>100.9</v>
      </c>
      <c r="Q335" s="8">
        <v>35000000</v>
      </c>
      <c r="R335" s="8">
        <v>48127720</v>
      </c>
      <c r="S335" s="8">
        <v>-3533916</v>
      </c>
      <c r="T335" s="20">
        <v>88</v>
      </c>
      <c r="U335" s="20">
        <v>366</v>
      </c>
      <c r="V335" s="20"/>
      <c r="W335" s="8">
        <v>-2943256</v>
      </c>
      <c r="X335" s="20" t="s">
        <v>488</v>
      </c>
      <c r="Y335" s="20" t="s">
        <v>489</v>
      </c>
      <c r="Z335" s="20" t="s">
        <v>490</v>
      </c>
      <c r="AA335" s="20" t="s">
        <v>491</v>
      </c>
      <c r="AB335" s="4"/>
      <c r="AC335" s="8">
        <v>350000</v>
      </c>
      <c r="AD335" s="8">
        <v>7224860.4487446956</v>
      </c>
      <c r="AE335" s="8">
        <v>4179957.902844049</v>
      </c>
      <c r="AF335" s="8">
        <f>VALUE(SUBSTITUTE(LEFT(Z335, FIND(" ", Z335) - 1), ",", ""))</f>
        <v>3522904</v>
      </c>
      <c r="AG335" s="15">
        <f ca="1">(AF335/YEARFRAC(A335,TODAY())/P335)</f>
        <v>26131.664087660123</v>
      </c>
      <c r="AI335" s="8">
        <f>VALUE(SUBSTITUTE(LEFT(X335, FIND(" ", X335) - 1), ",", ""))</f>
        <v>3536663</v>
      </c>
      <c r="AK335" s="20" t="str">
        <f>IF(AI335&gt;AC335, "YES","")</f>
        <v>YES</v>
      </c>
    </row>
    <row r="336" spans="1:37" x14ac:dyDescent="0.25">
      <c r="A336" s="5">
        <v>45398</v>
      </c>
      <c r="B336" s="20" t="s">
        <v>35</v>
      </c>
      <c r="C336" s="20">
        <v>40</v>
      </c>
      <c r="D336" s="20" t="s">
        <v>36</v>
      </c>
      <c r="E336" s="20" t="s">
        <v>33</v>
      </c>
      <c r="F336" s="20" t="s">
        <v>37</v>
      </c>
      <c r="G336" s="20" t="s">
        <v>58</v>
      </c>
      <c r="H336" s="20">
        <v>42</v>
      </c>
      <c r="I336" s="20" t="s">
        <v>43</v>
      </c>
      <c r="J336" s="20" t="s">
        <v>33</v>
      </c>
      <c r="K336" s="20" t="s">
        <v>34</v>
      </c>
      <c r="L336" s="20" t="s">
        <v>38</v>
      </c>
      <c r="M336" s="20">
        <v>0.72</v>
      </c>
      <c r="N336" s="20">
        <v>432.3</v>
      </c>
      <c r="O336" s="20">
        <v>80.7</v>
      </c>
      <c r="P336" s="20">
        <v>130.4</v>
      </c>
      <c r="Q336" s="8">
        <v>35000000</v>
      </c>
      <c r="R336" s="8">
        <v>48343031</v>
      </c>
      <c r="S336" s="8">
        <v>-3725068</v>
      </c>
      <c r="T336" s="20">
        <v>89</v>
      </c>
      <c r="U336" s="20">
        <v>367</v>
      </c>
      <c r="V336" s="20"/>
      <c r="W336" s="8">
        <v>-3327415</v>
      </c>
      <c r="X336" s="20" t="s">
        <v>412</v>
      </c>
      <c r="Y336" s="20" t="s">
        <v>413</v>
      </c>
      <c r="Z336" s="20" t="s">
        <v>414</v>
      </c>
      <c r="AA336" s="20" t="s">
        <v>415</v>
      </c>
      <c r="AB336" s="4"/>
      <c r="AC336" s="8">
        <v>282450</v>
      </c>
      <c r="AD336" s="8">
        <v>7727962.6242045192</v>
      </c>
      <c r="AE336" s="8">
        <v>4588629.2222757917</v>
      </c>
      <c r="AF336" s="8">
        <f>VALUE(SUBSTITUTE(LEFT(Z336, FIND(" ", Z336) - 1), ",", ""))</f>
        <v>4186668</v>
      </c>
      <c r="AG336" s="15">
        <f ca="1">(AF336/YEARFRAC(A336,TODAY())/P336)</f>
        <v>19491.207233677153</v>
      </c>
      <c r="AI336" s="8">
        <f>VALUE(SUBSTITUTE(LEFT(X336, FIND(" ", X336) - 1), ",", ""))</f>
        <v>4200382</v>
      </c>
      <c r="AK336" s="20" t="str">
        <f>IF(AI336&gt;AC336, "YES","")</f>
        <v>YES</v>
      </c>
    </row>
    <row r="337" spans="1:37" x14ac:dyDescent="0.25">
      <c r="A337" s="5">
        <v>45401</v>
      </c>
      <c r="B337" s="20" t="s">
        <v>35</v>
      </c>
      <c r="C337" s="20">
        <v>40</v>
      </c>
      <c r="D337" s="20" t="s">
        <v>36</v>
      </c>
      <c r="E337" s="20" t="s">
        <v>33</v>
      </c>
      <c r="F337" s="20" t="s">
        <v>37</v>
      </c>
      <c r="G337" s="20" t="s">
        <v>58</v>
      </c>
      <c r="H337" s="20">
        <v>42</v>
      </c>
      <c r="I337" s="20" t="s">
        <v>43</v>
      </c>
      <c r="J337" s="20" t="s">
        <v>33</v>
      </c>
      <c r="K337" s="20" t="s">
        <v>34</v>
      </c>
      <c r="L337" s="20" t="s">
        <v>38</v>
      </c>
      <c r="M337" s="20">
        <v>0.72</v>
      </c>
      <c r="N337" s="20">
        <v>438</v>
      </c>
      <c r="O337" s="20">
        <v>85.5</v>
      </c>
      <c r="P337" s="20">
        <v>125.8</v>
      </c>
      <c r="Q337" s="8">
        <v>35000000</v>
      </c>
      <c r="R337" s="8">
        <v>48341290</v>
      </c>
      <c r="S337" s="8">
        <v>-3819494</v>
      </c>
      <c r="T337" s="20">
        <v>84</v>
      </c>
      <c r="U337" s="20">
        <v>368</v>
      </c>
      <c r="V337" s="20"/>
      <c r="W337" s="8">
        <v>-3496997</v>
      </c>
      <c r="X337" s="20" t="s">
        <v>672</v>
      </c>
      <c r="Y337" s="20" t="s">
        <v>673</v>
      </c>
      <c r="Z337" s="20" t="s">
        <v>674</v>
      </c>
      <c r="AA337" s="20" t="s">
        <v>675</v>
      </c>
      <c r="AB337" s="4"/>
      <c r="AC337" s="8">
        <v>299250</v>
      </c>
      <c r="AD337" s="8">
        <v>7822344.923028063</v>
      </c>
      <c r="AE337" s="8">
        <v>4685197.798815405</v>
      </c>
      <c r="AF337" s="8">
        <f>VALUE(SUBSTITUTE(LEFT(Z337, FIND(" ", Z337) - 1), ",", ""))</f>
        <v>4278276</v>
      </c>
      <c r="AG337" s="15">
        <f ca="1">(AF337/YEARFRAC(A337,TODAY())/P337)</f>
        <v>20750.981649645659</v>
      </c>
      <c r="AI337" s="8">
        <f>VALUE(SUBSTITUTE(LEFT(X337, FIND(" ", X337) - 1), ",", ""))</f>
        <v>4291918</v>
      </c>
      <c r="AK337" s="20" t="str">
        <f>IF(AI337&gt;AC337, "YES","")</f>
        <v>YES</v>
      </c>
    </row>
    <row r="338" spans="1:37" x14ac:dyDescent="0.25">
      <c r="A338" s="5">
        <v>45744</v>
      </c>
      <c r="B338" s="20" t="s">
        <v>35</v>
      </c>
      <c r="C338" s="20">
        <v>42</v>
      </c>
      <c r="D338" s="20" t="s">
        <v>36</v>
      </c>
      <c r="E338" s="20" t="s">
        <v>33</v>
      </c>
      <c r="F338" s="20" t="s">
        <v>37</v>
      </c>
      <c r="G338" s="20" t="s">
        <v>58</v>
      </c>
      <c r="H338" s="20">
        <v>44</v>
      </c>
      <c r="I338" s="20" t="s">
        <v>43</v>
      </c>
      <c r="J338" s="20" t="s">
        <v>33</v>
      </c>
      <c r="K338" s="20" t="s">
        <v>34</v>
      </c>
      <c r="L338" s="20" t="s">
        <v>38</v>
      </c>
      <c r="M338" s="20">
        <v>0.68</v>
      </c>
      <c r="N338" s="20">
        <v>465</v>
      </c>
      <c r="O338" s="20">
        <v>21</v>
      </c>
      <c r="P338" s="20">
        <v>489</v>
      </c>
      <c r="Q338" s="8">
        <v>34234218</v>
      </c>
      <c r="R338" s="8">
        <v>50000000</v>
      </c>
      <c r="S338" s="8">
        <v>-3748871</v>
      </c>
      <c r="T338" s="20">
        <v>94</v>
      </c>
      <c r="U338" s="20">
        <v>373</v>
      </c>
      <c r="V338" s="20"/>
      <c r="W338" s="8">
        <v>-870475</v>
      </c>
      <c r="X338" s="20" t="s">
        <v>987</v>
      </c>
      <c r="Y338" s="20" t="s">
        <v>988</v>
      </c>
      <c r="Z338" s="20" t="s">
        <v>989</v>
      </c>
      <c r="AA338" s="20" t="s">
        <v>990</v>
      </c>
      <c r="AB338" s="20"/>
      <c r="AC338" s="8">
        <v>71891.857799999998</v>
      </c>
      <c r="AD338" s="8">
        <v>8230189.5966663938</v>
      </c>
      <c r="AE338" s="8">
        <v>4969740.5605978305</v>
      </c>
      <c r="AF338" s="8">
        <f>VALUE(SUBSTITUTE(LEFT(Z338, FIND(" ", Z338) - 1), ",", ""))</f>
        <v>2200374</v>
      </c>
      <c r="AG338" s="15">
        <f ca="1">(AF338/YEARFRAC(A338,TODAY())/P338)</f>
        <v>6453.8137022462306</v>
      </c>
      <c r="AI338" s="8">
        <f>VALUE(SUBSTITUTE(LEFT(X338, FIND(" ", X338) - 1), ",", ""))</f>
        <v>2214495</v>
      </c>
      <c r="AK338" s="20" t="str">
        <f>IF(AI338&gt;AC338, "YES","")</f>
        <v>YES</v>
      </c>
    </row>
    <row r="339" spans="1:37" x14ac:dyDescent="0.25">
      <c r="A339" s="5">
        <v>45049</v>
      </c>
      <c r="B339" s="20" t="s">
        <v>58</v>
      </c>
      <c r="C339" s="20">
        <v>39</v>
      </c>
      <c r="D339" s="20" t="s">
        <v>43</v>
      </c>
      <c r="E339" s="20" t="s">
        <v>33</v>
      </c>
      <c r="F339" s="20" t="s">
        <v>34</v>
      </c>
      <c r="G339" s="20" t="s">
        <v>44</v>
      </c>
      <c r="H339" s="20">
        <v>38</v>
      </c>
      <c r="I339" s="20" t="s">
        <v>122</v>
      </c>
      <c r="J339" s="20" t="s">
        <v>33</v>
      </c>
      <c r="K339" s="20" t="s">
        <v>37</v>
      </c>
      <c r="L339" s="20" t="s">
        <v>38</v>
      </c>
      <c r="M339" s="20">
        <v>0.66</v>
      </c>
      <c r="N339" s="20">
        <v>414.7</v>
      </c>
      <c r="O339" s="20">
        <v>17.600000000000001</v>
      </c>
      <c r="P339" s="20">
        <v>491.6</v>
      </c>
      <c r="Q339" s="8">
        <v>40000000</v>
      </c>
      <c r="R339" s="8">
        <v>60222445</v>
      </c>
      <c r="S339" s="8">
        <v>-1269445</v>
      </c>
      <c r="T339" s="20">
        <v>472</v>
      </c>
      <c r="U339" s="20">
        <v>38</v>
      </c>
      <c r="V339" s="20"/>
      <c r="W339" s="8">
        <v>-587467</v>
      </c>
      <c r="X339" s="20" t="s">
        <v>299</v>
      </c>
      <c r="Y339" s="20" t="s">
        <v>300</v>
      </c>
      <c r="Z339" s="20" t="s">
        <v>301</v>
      </c>
      <c r="AA339" s="20" t="s">
        <v>302</v>
      </c>
      <c r="AB339" s="20"/>
      <c r="AC339" s="8">
        <v>70400</v>
      </c>
      <c r="AD339" s="8">
        <v>7685940.5000082143</v>
      </c>
      <c r="AE339" s="8">
        <v>5207472.2981018079</v>
      </c>
      <c r="AF339" s="8">
        <f>VALUE(SUBSTITUTE(LEFT(Z339, FIND(" ", Z339) - 1), ",", ""))</f>
        <v>5837910</v>
      </c>
      <c r="AG339" s="15">
        <f ca="1">(AF339/YEARFRAC(A339,TODAY())/P339)</f>
        <v>4567.4328722538648</v>
      </c>
      <c r="AI339" s="8">
        <f>VALUE(SUBSTITUTE(LEFT(X339, FIND(" ", X339) - 1), ",", ""))</f>
        <v>5837910</v>
      </c>
      <c r="AK339" s="20" t="str">
        <f>IF(AI339&gt;AC339, "YES","")</f>
        <v>YES</v>
      </c>
    </row>
    <row r="340" spans="1:37" x14ac:dyDescent="0.25">
      <c r="A340" s="5">
        <v>44749</v>
      </c>
      <c r="B340" s="20" t="s">
        <v>44</v>
      </c>
      <c r="C340" s="20">
        <v>36</v>
      </c>
      <c r="D340" s="20" t="s">
        <v>43</v>
      </c>
      <c r="E340" s="20" t="s">
        <v>33</v>
      </c>
      <c r="F340" s="20" t="s">
        <v>34</v>
      </c>
      <c r="G340" s="20" t="s">
        <v>44</v>
      </c>
      <c r="H340" s="20">
        <v>36</v>
      </c>
      <c r="I340" s="20" t="s">
        <v>122</v>
      </c>
      <c r="J340" s="20" t="s">
        <v>33</v>
      </c>
      <c r="K340" s="20" t="s">
        <v>37</v>
      </c>
      <c r="L340" s="20" t="s">
        <v>38</v>
      </c>
      <c r="M340" s="20">
        <v>2.84</v>
      </c>
      <c r="N340" s="20">
        <v>89.3</v>
      </c>
      <c r="O340" s="20">
        <v>35.4</v>
      </c>
      <c r="P340" s="20">
        <v>59.1</v>
      </c>
      <c r="Q340" s="8">
        <v>215000000</v>
      </c>
      <c r="R340" s="8">
        <v>75641908</v>
      </c>
      <c r="S340" s="8">
        <v>-2344252</v>
      </c>
      <c r="T340" s="20">
        <v>109</v>
      </c>
      <c r="U340" s="20">
        <v>56</v>
      </c>
      <c r="V340" s="20"/>
      <c r="W340" s="8">
        <v>-767678</v>
      </c>
      <c r="X340" s="20" t="s">
        <v>212</v>
      </c>
      <c r="Y340" s="20" t="s">
        <v>213</v>
      </c>
      <c r="Z340" s="20" t="s">
        <v>214</v>
      </c>
      <c r="AA340" s="20" t="s">
        <v>42</v>
      </c>
      <c r="AB340" s="20"/>
      <c r="AC340" s="8">
        <v>761100</v>
      </c>
      <c r="AD340" s="8">
        <v>8552186.0310209449</v>
      </c>
      <c r="AE340" s="8">
        <v>5604854.7901502512</v>
      </c>
      <c r="AF340" s="8">
        <f>VALUE(SUBSTITUTE(LEFT(Z340, FIND(" ", Z340) - 1), ",", ""))</f>
        <v>8659100</v>
      </c>
      <c r="AG340" s="15">
        <f ca="1">(AF340/YEARFRAC(A340,TODAY())/P340)</f>
        <v>42813.138638011733</v>
      </c>
      <c r="AI340" s="8">
        <f>VALUE(SUBSTITUTE(LEFT(X340, FIND(" ", X340) - 1), ",", ""))</f>
        <v>8677709</v>
      </c>
      <c r="AK340" s="20" t="str">
        <f>IF(AI340&gt;AC340, "YES","")</f>
        <v>YES</v>
      </c>
    </row>
    <row r="341" spans="1:37" x14ac:dyDescent="0.25">
      <c r="A341" s="17">
        <v>45761</v>
      </c>
      <c r="B341" s="12" t="s">
        <v>35</v>
      </c>
      <c r="C341" s="12">
        <v>42</v>
      </c>
      <c r="D341" s="12" t="s">
        <v>36</v>
      </c>
      <c r="E341" s="12" t="s">
        <v>33</v>
      </c>
      <c r="F341" s="12" t="s">
        <v>37</v>
      </c>
      <c r="G341" s="12" t="s">
        <v>58</v>
      </c>
      <c r="H341" s="12">
        <v>44</v>
      </c>
      <c r="I341" s="12" t="s">
        <v>43</v>
      </c>
      <c r="J341" s="12" t="s">
        <v>33</v>
      </c>
      <c r="K341" s="12" t="s">
        <v>34</v>
      </c>
      <c r="L341" s="12" t="s">
        <v>38</v>
      </c>
      <c r="M341" s="12">
        <v>0.69</v>
      </c>
      <c r="N341" s="12">
        <v>427.6</v>
      </c>
      <c r="O341" s="12">
        <v>26.3</v>
      </c>
      <c r="P341" s="12">
        <v>327.5</v>
      </c>
      <c r="Q341" s="16">
        <v>34700000</v>
      </c>
      <c r="R341" s="16">
        <v>50000000</v>
      </c>
      <c r="S341" s="16">
        <v>-4511826</v>
      </c>
      <c r="T341" s="12">
        <v>115</v>
      </c>
      <c r="U341" s="12">
        <v>420</v>
      </c>
      <c r="V341" s="12"/>
      <c r="W341" s="16">
        <v>-1347396</v>
      </c>
      <c r="X341" s="12" t="s">
        <v>1140</v>
      </c>
      <c r="Y341" s="12" t="s">
        <v>1141</v>
      </c>
      <c r="Z341" s="12" t="s">
        <v>1142</v>
      </c>
      <c r="AA341" s="12" t="s">
        <v>1143</v>
      </c>
      <c r="AB341" s="20"/>
      <c r="AC341" s="8">
        <v>91261</v>
      </c>
      <c r="AD341" s="8">
        <v>9014443.3949349746</v>
      </c>
      <c r="AE341" s="8">
        <v>5766080.61821739</v>
      </c>
      <c r="AF341" s="8">
        <f>VALUE(SUBSTITUTE(LEFT(Z341, FIND(" ", Z341) - 1), ",", ""))</f>
        <v>2489848</v>
      </c>
      <c r="AG341" s="15">
        <f ca="1">(AF341/YEARFRAC(A341,TODAY())/P341)</f>
        <v>11646.519798603216</v>
      </c>
      <c r="AI341" s="8">
        <f>VALUE(SUBSTITUTE(LEFT(X341, FIND(" ", X341) - 1), ",", ""))</f>
        <v>2820776</v>
      </c>
      <c r="AK341" s="20" t="str">
        <f>IF(AI341&gt;AC341, "YES","")</f>
        <v>YES</v>
      </c>
    </row>
    <row r="342" spans="1:37" x14ac:dyDescent="0.25">
      <c r="A342" s="17">
        <v>45761</v>
      </c>
      <c r="B342" s="12" t="s">
        <v>58</v>
      </c>
      <c r="C342" s="12">
        <v>44</v>
      </c>
      <c r="D342" s="12" t="s">
        <v>43</v>
      </c>
      <c r="E342" s="12" t="s">
        <v>33</v>
      </c>
      <c r="F342" s="12" t="s">
        <v>34</v>
      </c>
      <c r="G342" s="12" t="s">
        <v>44</v>
      </c>
      <c r="H342" s="12">
        <v>42</v>
      </c>
      <c r="I342" s="12" t="s">
        <v>122</v>
      </c>
      <c r="J342" s="12" t="s">
        <v>33</v>
      </c>
      <c r="K342" s="12" t="s">
        <v>37</v>
      </c>
      <c r="L342" s="12" t="s">
        <v>38</v>
      </c>
      <c r="M342" s="12">
        <v>0.45</v>
      </c>
      <c r="N342" s="12">
        <v>292</v>
      </c>
      <c r="O342" s="12">
        <v>22</v>
      </c>
      <c r="P342" s="12">
        <v>273.39999999999998</v>
      </c>
      <c r="Q342" s="16">
        <v>50000000</v>
      </c>
      <c r="R342" s="16">
        <v>110000000</v>
      </c>
      <c r="S342" s="16">
        <v>-1685646</v>
      </c>
      <c r="T342" s="12">
        <v>420</v>
      </c>
      <c r="U342" s="12">
        <v>35</v>
      </c>
      <c r="V342" s="12"/>
      <c r="W342" s="16">
        <v>1466086</v>
      </c>
      <c r="X342" s="12" t="s">
        <v>1148</v>
      </c>
      <c r="Y342" s="12" t="s">
        <v>1149</v>
      </c>
      <c r="Z342" s="12" t="s">
        <v>1150</v>
      </c>
      <c r="AA342" s="12" t="s">
        <v>1151</v>
      </c>
      <c r="AB342" s="20"/>
      <c r="AC342" s="8">
        <v>110000</v>
      </c>
      <c r="AD342" s="8">
        <v>9080260.0958247762</v>
      </c>
      <c r="AE342" s="8">
        <v>5831897.3191071916</v>
      </c>
      <c r="AF342" s="8">
        <f>VALUE(SUBSTITUTE(LEFT(Z342, FIND(" ", Z342) - 1), ",", ""))</f>
        <v>2367116</v>
      </c>
      <c r="AG342" s="15">
        <f ca="1">(AF342/YEARFRAC(A342,TODAY())/P342)</f>
        <v>13263.424489097108</v>
      </c>
      <c r="AI342" s="8">
        <f>VALUE(SUBSTITUTE(LEFT(X342, FIND(" ", X342) - 1), ",", ""))</f>
        <v>2722847</v>
      </c>
      <c r="AK342" s="20" t="str">
        <f>IF(AI342&gt;AC342, "YES","")</f>
        <v>YES</v>
      </c>
    </row>
    <row r="343" spans="1:37" x14ac:dyDescent="0.25">
      <c r="A343" s="17">
        <v>45757</v>
      </c>
      <c r="B343" s="12" t="s">
        <v>35</v>
      </c>
      <c r="C343" s="12">
        <v>42</v>
      </c>
      <c r="D343" s="12" t="s">
        <v>36</v>
      </c>
      <c r="E343" s="12" t="s">
        <v>33</v>
      </c>
      <c r="F343" s="12" t="s">
        <v>37</v>
      </c>
      <c r="G343" s="12" t="s">
        <v>58</v>
      </c>
      <c r="H343" s="12">
        <v>44</v>
      </c>
      <c r="I343" s="12" t="s">
        <v>43</v>
      </c>
      <c r="J343" s="12" t="s">
        <v>33</v>
      </c>
      <c r="K343" s="12" t="s">
        <v>34</v>
      </c>
      <c r="L343" s="12" t="s">
        <v>38</v>
      </c>
      <c r="M343" s="12">
        <v>0.69</v>
      </c>
      <c r="N343" s="12">
        <v>508.8</v>
      </c>
      <c r="O343" s="12">
        <v>72.5</v>
      </c>
      <c r="P343" s="12">
        <v>161.4</v>
      </c>
      <c r="Q343" s="16">
        <v>34589687</v>
      </c>
      <c r="R343" s="16">
        <v>50000000</v>
      </c>
      <c r="S343" s="16">
        <v>-4276605</v>
      </c>
      <c r="T343" s="12">
        <v>126</v>
      </c>
      <c r="U343" s="12">
        <v>429</v>
      </c>
      <c r="V343" s="12"/>
      <c r="W343" s="16">
        <v>-1430987</v>
      </c>
      <c r="X343" s="12" t="s">
        <v>1079</v>
      </c>
      <c r="Y343" s="12" t="s">
        <v>1080</v>
      </c>
      <c r="Z343" s="12" t="s">
        <v>1081</v>
      </c>
      <c r="AA343" s="12" t="s">
        <v>1082</v>
      </c>
      <c r="AB343" s="20"/>
      <c r="AC343" s="8">
        <v>250775.23074999999</v>
      </c>
      <c r="AD343" s="8">
        <v>9094090.2220862415</v>
      </c>
      <c r="AE343" s="8">
        <v>5842875.3463430088</v>
      </c>
      <c r="AF343" s="8">
        <f>VALUE(SUBSTITUTE(LEFT(Z343, FIND(" ", Z343) - 1), ",", ""))</f>
        <v>2849218</v>
      </c>
      <c r="AG343" s="15">
        <f ca="1">(AF343/YEARFRAC(A343,TODAY())/P343)</f>
        <v>26590.515002099826</v>
      </c>
      <c r="AI343" s="8">
        <f>VALUE(SUBSTITUTE(LEFT(X343, FIND(" ", X343) - 1), ",", ""))</f>
        <v>2857981</v>
      </c>
      <c r="AK343" s="20" t="str">
        <f>IF(AI343&gt;AC343, "YES","")</f>
        <v>YES</v>
      </c>
    </row>
    <row r="344" spans="1:37" x14ac:dyDescent="0.25">
      <c r="A344" s="17">
        <v>45757</v>
      </c>
      <c r="B344" s="12" t="s">
        <v>58</v>
      </c>
      <c r="C344" s="12">
        <v>44</v>
      </c>
      <c r="D344" s="12" t="s">
        <v>43</v>
      </c>
      <c r="E344" s="12" t="s">
        <v>33</v>
      </c>
      <c r="F344" s="12" t="s">
        <v>34</v>
      </c>
      <c r="G344" s="12" t="s">
        <v>44</v>
      </c>
      <c r="H344" s="12">
        <v>42</v>
      </c>
      <c r="I344" s="12" t="s">
        <v>122</v>
      </c>
      <c r="J344" s="12" t="s">
        <v>33</v>
      </c>
      <c r="K344" s="12" t="s">
        <v>37</v>
      </c>
      <c r="L344" s="12" t="s">
        <v>38</v>
      </c>
      <c r="M344" s="12">
        <v>0.45</v>
      </c>
      <c r="N344" s="12">
        <v>342.2</v>
      </c>
      <c r="O344" s="12">
        <v>43.1</v>
      </c>
      <c r="P344" s="12">
        <v>192.5</v>
      </c>
      <c r="Q344" s="16">
        <v>50000000</v>
      </c>
      <c r="R344" s="16">
        <v>110170993</v>
      </c>
      <c r="S344" s="16">
        <v>-1621871</v>
      </c>
      <c r="T344" s="12">
        <v>429</v>
      </c>
      <c r="U344" s="12">
        <v>39</v>
      </c>
      <c r="V344" s="12"/>
      <c r="W344" s="16">
        <v>1211071</v>
      </c>
      <c r="X344" s="12" t="s">
        <v>1059</v>
      </c>
      <c r="Y344" s="12" t="s">
        <v>1060</v>
      </c>
      <c r="Z344" s="12" t="s">
        <v>1061</v>
      </c>
      <c r="AA344" s="12" t="s">
        <v>1062</v>
      </c>
      <c r="AB344" s="20"/>
      <c r="AC344" s="8">
        <v>215500</v>
      </c>
      <c r="AD344" s="8">
        <v>9123028.9207926076</v>
      </c>
      <c r="AE344" s="8">
        <v>5871814.0450493749</v>
      </c>
      <c r="AF344" s="8">
        <f>VALUE(SUBSTITUTE(LEFT(Z344, FIND(" ", Z344) - 1), ",", ""))</f>
        <v>2729727</v>
      </c>
      <c r="AG344" s="15">
        <f ca="1">(AF344/YEARFRAC(A344,TODAY())/P344)</f>
        <v>21359.598326359835</v>
      </c>
      <c r="AI344" s="8">
        <f>VALUE(SUBSTITUTE(LEFT(X344, FIND(" ", X344) - 1), ",", ""))</f>
        <v>2742786</v>
      </c>
      <c r="AK344" s="20" t="str">
        <f>IF(AI344&gt;AC344, "YES","")</f>
        <v>YES</v>
      </c>
    </row>
    <row r="345" spans="1:37" x14ac:dyDescent="0.25">
      <c r="A345" s="5">
        <v>44917</v>
      </c>
      <c r="B345" s="20" t="s">
        <v>44</v>
      </c>
      <c r="C345" s="20">
        <v>38</v>
      </c>
      <c r="D345" s="20" t="s">
        <v>122</v>
      </c>
      <c r="E345" s="20" t="s">
        <v>33</v>
      </c>
      <c r="F345" s="20" t="s">
        <v>37</v>
      </c>
      <c r="G345" s="20" t="s">
        <v>35</v>
      </c>
      <c r="H345" s="20">
        <v>38</v>
      </c>
      <c r="I345" s="20" t="s">
        <v>43</v>
      </c>
      <c r="J345" s="20" t="s">
        <v>33</v>
      </c>
      <c r="K345" s="20" t="s">
        <v>34</v>
      </c>
      <c r="L345" s="20" t="s">
        <v>38</v>
      </c>
      <c r="M345" s="20">
        <v>0.88</v>
      </c>
      <c r="N345" s="20">
        <v>511.6</v>
      </c>
      <c r="O345" s="20">
        <v>58.1</v>
      </c>
      <c r="P345" s="20">
        <v>194.8</v>
      </c>
      <c r="Q345" s="8">
        <v>44037831</v>
      </c>
      <c r="R345" s="8">
        <v>50000000</v>
      </c>
      <c r="S345" s="8">
        <v>-834312</v>
      </c>
      <c r="T345" s="20">
        <v>44</v>
      </c>
      <c r="U345" s="20">
        <v>484</v>
      </c>
      <c r="V345" s="20"/>
      <c r="W345" s="8">
        <v>-172894</v>
      </c>
      <c r="X345" s="20" t="s">
        <v>248</v>
      </c>
      <c r="Y345" s="20" t="s">
        <v>249</v>
      </c>
      <c r="Z345" s="20" t="s">
        <v>250</v>
      </c>
      <c r="AA345" s="20" t="s">
        <v>251</v>
      </c>
      <c r="AB345" s="20"/>
      <c r="AC345" s="8">
        <v>255859.79811</v>
      </c>
      <c r="AD345" s="8">
        <v>11117453.75366571</v>
      </c>
      <c r="AE345" s="8">
        <v>6852995.0421018619</v>
      </c>
      <c r="AF345" s="8">
        <f>VALUE(SUBSTITUTE(LEFT(Z345, FIND(" ", Z345) - 1), ",", ""))</f>
        <v>9941858</v>
      </c>
      <c r="AG345" s="15">
        <f ca="1">(AF345/YEARFRAC(A345,TODAY())/P345)</f>
        <v>17219.347265067958</v>
      </c>
      <c r="AI345" s="8">
        <f>VALUE(SUBSTITUTE(LEFT(X345, FIND(" ", X345) - 1), ",", ""))</f>
        <v>10007462</v>
      </c>
      <c r="AK345" s="20" t="str">
        <f>IF(AI345&gt;AC345, "YES","")</f>
        <v>YES</v>
      </c>
    </row>
    <row r="346" spans="1:37" x14ac:dyDescent="0.25">
      <c r="A346" s="5">
        <v>45049</v>
      </c>
      <c r="B346" s="20" t="s">
        <v>58</v>
      </c>
      <c r="C346" s="20">
        <v>40</v>
      </c>
      <c r="D346" s="20" t="s">
        <v>43</v>
      </c>
      <c r="E346" s="20" t="s">
        <v>33</v>
      </c>
      <c r="F346" s="20" t="s">
        <v>34</v>
      </c>
      <c r="G346" s="20" t="s">
        <v>44</v>
      </c>
      <c r="H346" s="20">
        <v>38</v>
      </c>
      <c r="I346" s="20" t="s">
        <v>122</v>
      </c>
      <c r="J346" s="20" t="s">
        <v>33</v>
      </c>
      <c r="K346" s="20" t="s">
        <v>37</v>
      </c>
      <c r="L346" s="20" t="s">
        <v>38</v>
      </c>
      <c r="M346" s="20">
        <v>0.67</v>
      </c>
      <c r="N346" s="20">
        <v>429.1</v>
      </c>
      <c r="O346" s="20">
        <v>22.8</v>
      </c>
      <c r="P346" s="20">
        <v>446.2</v>
      </c>
      <c r="Q346" s="8">
        <v>50000000</v>
      </c>
      <c r="R346" s="8">
        <v>74561415</v>
      </c>
      <c r="S346" s="8">
        <v>-1796476</v>
      </c>
      <c r="T346" s="20">
        <v>486</v>
      </c>
      <c r="U346" s="20">
        <v>38</v>
      </c>
      <c r="V346" s="20"/>
      <c r="W346" s="8">
        <v>-952118</v>
      </c>
      <c r="X346" s="20" t="s">
        <v>306</v>
      </c>
      <c r="Y346" s="20" t="s">
        <v>307</v>
      </c>
      <c r="Z346" s="20" t="s">
        <v>308</v>
      </c>
      <c r="AA346" s="20" t="s">
        <v>309</v>
      </c>
      <c r="AB346" s="20"/>
      <c r="AC346" s="8">
        <v>114000</v>
      </c>
      <c r="AD346" s="8">
        <v>11161806.77923614</v>
      </c>
      <c r="AE346" s="8">
        <v>7926342.0392182684</v>
      </c>
      <c r="AF346" s="8">
        <f>VALUE(SUBSTITUTE(LEFT(Z346, FIND(" ", Z346) - 1), ",", ""))</f>
        <v>8065342</v>
      </c>
      <c r="AG346" s="15">
        <f ca="1">(AF346/YEARFRAC(A346,TODAY())/P346)</f>
        <v>6952.1618453263463</v>
      </c>
      <c r="AI346" s="8">
        <f>VALUE(SUBSTITUTE(LEFT(X346, FIND(" ", X346) - 1), ",", ""))</f>
        <v>8065342</v>
      </c>
      <c r="AK346" s="20" t="str">
        <f>IF(AI346&gt;AC346, "YES","")</f>
        <v>YES</v>
      </c>
    </row>
    <row r="347" spans="1:37" x14ac:dyDescent="0.25">
      <c r="A347" s="5">
        <v>44917</v>
      </c>
      <c r="B347" s="20" t="s">
        <v>35</v>
      </c>
      <c r="C347" s="20">
        <v>36</v>
      </c>
      <c r="D347" s="20" t="s">
        <v>36</v>
      </c>
      <c r="E347" s="20" t="s">
        <v>33</v>
      </c>
      <c r="F347" s="20" t="s">
        <v>37</v>
      </c>
      <c r="G347" s="20" t="s">
        <v>58</v>
      </c>
      <c r="H347" s="20">
        <v>39</v>
      </c>
      <c r="I347" s="20" t="s">
        <v>43</v>
      </c>
      <c r="J347" s="20" t="s">
        <v>33</v>
      </c>
      <c r="K347" s="20" t="s">
        <v>34</v>
      </c>
      <c r="L347" s="20" t="s">
        <v>38</v>
      </c>
      <c r="M347" s="20">
        <v>0.27</v>
      </c>
      <c r="N347" s="20">
        <v>1691.1</v>
      </c>
      <c r="O347" s="20">
        <v>49.1</v>
      </c>
      <c r="P347" s="20">
        <v>778.1</v>
      </c>
      <c r="Q347" s="8">
        <v>13591846</v>
      </c>
      <c r="R347" s="8">
        <v>50000000</v>
      </c>
      <c r="S347" s="8">
        <v>-1763648</v>
      </c>
      <c r="T347" s="20">
        <v>114</v>
      </c>
      <c r="U347" s="20">
        <v>485</v>
      </c>
      <c r="V347" s="20"/>
      <c r="W347" s="8">
        <v>-1399326</v>
      </c>
      <c r="X347" s="20" t="s">
        <v>215</v>
      </c>
      <c r="Y347" s="20" t="s">
        <v>216</v>
      </c>
      <c r="Z347" s="20" t="s">
        <v>217</v>
      </c>
      <c r="AA347" s="20" t="s">
        <v>218</v>
      </c>
      <c r="AB347" s="20"/>
      <c r="AC347" s="8">
        <v>66735.963860000003</v>
      </c>
      <c r="AD347" s="8">
        <v>11491121.867817661</v>
      </c>
      <c r="AE347" s="8">
        <v>8292777.8341447748</v>
      </c>
      <c r="AF347" s="8">
        <f>VALUE(SUBSTITUTE(LEFT(Z347, FIND(" ", Z347) - 1), ",", ""))</f>
        <v>9454874</v>
      </c>
      <c r="AG347" s="15">
        <f ca="1">(AF347/YEARFRAC(A347,TODAY())/P347)</f>
        <v>4099.7597902371226</v>
      </c>
      <c r="AI347" s="8">
        <f>VALUE(SUBSTITUTE(LEFT(X347, FIND(" ", X347) - 1), ",", ""))</f>
        <v>9454874</v>
      </c>
      <c r="AK347" s="20" t="str">
        <f>IF(AI347&gt;AC347, "YES","")</f>
        <v>YES</v>
      </c>
    </row>
    <row r="348" spans="1:37" x14ac:dyDescent="0.25">
      <c r="A348" s="17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6"/>
      <c r="R348" s="16"/>
      <c r="S348" s="16"/>
      <c r="T348" s="12"/>
      <c r="U348" s="12"/>
      <c r="V348" s="12"/>
      <c r="W348" s="16"/>
      <c r="X348" s="12"/>
      <c r="Y348" s="12"/>
      <c r="Z348" s="12"/>
      <c r="AA348" s="12"/>
    </row>
    <row r="349" spans="1:37" x14ac:dyDescent="0.25">
      <c r="A349" s="17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6"/>
      <c r="R349" s="16"/>
      <c r="S349" s="16"/>
      <c r="T349" s="12"/>
      <c r="U349" s="12"/>
      <c r="V349" s="12"/>
      <c r="W349" s="16"/>
      <c r="X349" s="12"/>
      <c r="Y349" s="12"/>
      <c r="Z349" s="12"/>
      <c r="AA349" s="12"/>
    </row>
    <row r="350" spans="1:37" x14ac:dyDescent="0.25">
      <c r="A350" s="17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6"/>
      <c r="R350" s="16"/>
      <c r="S350" s="16"/>
      <c r="T350" s="12"/>
      <c r="U350" s="12"/>
      <c r="V350" s="12"/>
      <c r="W350" s="16"/>
      <c r="X350" s="12"/>
      <c r="Y350" s="12"/>
      <c r="Z350" s="12"/>
      <c r="AA350" s="12"/>
    </row>
    <row r="351" spans="1:37" x14ac:dyDescent="0.25">
      <c r="A351" s="17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6"/>
      <c r="R351" s="16"/>
      <c r="S351" s="16"/>
      <c r="T351" s="12"/>
      <c r="U351" s="12"/>
      <c r="V351" s="12"/>
      <c r="W351" s="16"/>
      <c r="X351" s="12"/>
      <c r="Y351" s="12"/>
      <c r="Z351" s="12"/>
      <c r="AA351" s="12"/>
    </row>
  </sheetData>
  <autoFilter ref="A1:AK347" xr:uid="{43AC4820-0BDF-45B1-9B55-AC9FD792A901}">
    <filterColumn colId="29">
      <customFilters>
        <customFilter operator="greaterThanOrEqual" val="-50000"/>
      </customFilters>
    </filterColumn>
    <filterColumn colId="30">
      <customFilters>
        <customFilter operator="greaterThanOrEqual" val="-100000"/>
      </customFilters>
    </filterColumn>
    <sortState xmlns:xlrd2="http://schemas.microsoft.com/office/spreadsheetml/2017/richdata2" ref="A84:AK347">
      <sortCondition ref="AE1:AE347"/>
    </sortState>
  </autoFilter>
  <pageMargins left="0.7" right="0.7" top="0.75" bottom="0.75" header="0.3" footer="0.3"/>
  <headerFooter>
    <oddHeader>&amp;L&amp;"Aptos"&amp;10&amp;K000000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CPP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Mistry, Nikhil</dc:creator>
  <cp:lastModifiedBy>Mistry, Nikhil</cp:lastModifiedBy>
  <dcterms:created xsi:type="dcterms:W3CDTF">2025-12-04T09:36:10Z</dcterms:created>
  <dcterms:modified xsi:type="dcterms:W3CDTF">2025-12-09T08:38:03Z</dcterms:modified>
</cp:coreProperties>
</file>