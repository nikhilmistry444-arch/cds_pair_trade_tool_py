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"/>
    </mc:Choice>
  </mc:AlternateContent>
  <xr:revisionPtr revIDLastSave="254" documentId="8_{8F161757-FFB7-44C2-AF11-24754ED2FBD7}" xr6:coauthVersionLast="47" xr6:coauthVersionMax="47" xr10:uidLastSave="{524586E3-ACF1-4F8E-A266-BE0D90687179}"/>
  <bookViews>
    <workbookView xWindow="28680" yWindow="-120" windowWidth="29040" windowHeight="17640" activeTab="1" xr2:uid="{C9C6337C-9C01-4C1E-B52C-8BA97FBB95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2" l="1"/>
  <c r="O22" i="2" s="1"/>
  <c r="K21" i="2"/>
  <c r="K10" i="2"/>
  <c r="O10" i="2"/>
  <c r="O11" i="2" s="1"/>
  <c r="K32" i="1"/>
  <c r="J32" i="1"/>
  <c r="C28" i="1"/>
  <c r="D28" i="1"/>
  <c r="E28" i="1"/>
  <c r="F28" i="1"/>
  <c r="B28" i="1"/>
  <c r="C25" i="1"/>
  <c r="D25" i="1"/>
  <c r="E25" i="1"/>
  <c r="F25" i="1"/>
  <c r="B25" i="1"/>
  <c r="C23" i="1"/>
  <c r="C27" i="1"/>
  <c r="D27" i="1"/>
  <c r="E27" i="1"/>
  <c r="F27" i="1"/>
  <c r="B27" i="1"/>
  <c r="K15" i="1"/>
  <c r="J9" i="1"/>
  <c r="C10" i="1"/>
  <c r="C11" i="1"/>
  <c r="E9" i="1"/>
  <c r="G28" i="1" l="1"/>
  <c r="E14" i="1"/>
  <c r="E15" i="1" s="1"/>
  <c r="G12" i="1"/>
  <c r="F9" i="1"/>
  <c r="C9" i="1"/>
  <c r="G9" i="1" s="1"/>
  <c r="G6" i="1" s="1"/>
  <c r="G5" i="1" s="1"/>
  <c r="C5" i="1"/>
  <c r="C4" i="1"/>
  <c r="C3" i="1"/>
  <c r="C2" i="1"/>
  <c r="K9" i="1" l="1"/>
  <c r="L9" i="1" s="1"/>
  <c r="J11" i="1"/>
  <c r="I12" i="1" s="1"/>
  <c r="K12" i="1" s="1"/>
  <c r="L12" i="1" s="1"/>
  <c r="J10" i="1"/>
  <c r="I11" i="1" l="1"/>
  <c r="K11" i="1" s="1"/>
  <c r="L11" i="1" s="1"/>
  <c r="I10" i="1"/>
  <c r="K10" i="1" s="1"/>
  <c r="L10" i="1" s="1"/>
  <c r="M13" i="1" l="1"/>
  <c r="N13" i="1" s="1"/>
</calcChain>
</file>

<file path=xl/sharedStrings.xml><?xml version="1.0" encoding="utf-8"?>
<sst xmlns="http://schemas.openxmlformats.org/spreadsheetml/2006/main" count="293" uniqueCount="93">
  <si>
    <t>Original Attachment</t>
  </si>
  <si>
    <t>Original Detachment</t>
  </si>
  <si>
    <t>Notional</t>
  </si>
  <si>
    <t>Credit Event Entity</t>
  </si>
  <si>
    <t>Recovery Rate</t>
  </si>
  <si>
    <t>Loss Given Default</t>
  </si>
  <si>
    <t>Weight</t>
  </si>
  <si>
    <t>Index Factor</t>
  </si>
  <si>
    <t># of default</t>
  </si>
  <si>
    <t>Index Cumulative Loss</t>
  </si>
  <si>
    <t>Adjusted Attachment</t>
  </si>
  <si>
    <t>Adjusted Detachment</t>
  </si>
  <si>
    <t>Adjusted Notional</t>
  </si>
  <si>
    <t>Tranche Notional Factor</t>
  </si>
  <si>
    <t>Settled Recovery</t>
  </si>
  <si>
    <t>Total Notional</t>
  </si>
  <si>
    <t>Casino</t>
  </si>
  <si>
    <t>Itraxx Xover S--Example</t>
  </si>
  <si>
    <t>75 names xover</t>
  </si>
  <si>
    <t>example 2</t>
  </si>
  <si>
    <t>on the original notional</t>
  </si>
  <si>
    <t>Example</t>
  </si>
  <si>
    <t>5 Year CDS:</t>
  </si>
  <si>
    <t>Discount</t>
  </si>
  <si>
    <t>Cashflow</t>
  </si>
  <si>
    <t>Product 1</t>
  </si>
  <si>
    <t>Att-Detach 1</t>
  </si>
  <si>
    <t>Maturity 1</t>
  </si>
  <si>
    <t>Trade 1</t>
  </si>
  <si>
    <t>Product 2</t>
  </si>
  <si>
    <t>Att-Detach 2</t>
  </si>
  <si>
    <t>Maturity 2</t>
  </si>
  <si>
    <t>Trade 2</t>
  </si>
  <si>
    <t>Beta Ratio</t>
  </si>
  <si>
    <t>Reason</t>
  </si>
  <si>
    <t>Type</t>
  </si>
  <si>
    <t>Percentile</t>
  </si>
  <si>
    <t>T Cost</t>
  </si>
  <si>
    <t>Target_Spread_Pickup</t>
  </si>
  <si>
    <t>Net Carry</t>
  </si>
  <si>
    <t>Net 12m R+C</t>
  </si>
  <si>
    <t>Net 12m % Rtn</t>
  </si>
  <si>
    <t>Net Basis</t>
  </si>
  <si>
    <t>0.0-1.0</t>
  </si>
  <si>
    <t>2.4(2026-12-20)</t>
  </si>
  <si>
    <t>Sell Protection</t>
  </si>
  <si>
    <t>ITRAXX XOVER 40.0</t>
  </si>
  <si>
    <t>4.4(2028-12-20)</t>
  </si>
  <si>
    <t>Buy Protection</t>
  </si>
  <si>
    <t>Historic - Mean Reversion</t>
  </si>
  <si>
    <t>decompression</t>
  </si>
  <si>
    <t>ITRAXX XOVER 40</t>
  </si>
  <si>
    <t>compression</t>
  </si>
  <si>
    <t>ITRAXX XOVER 39.0</t>
  </si>
  <si>
    <t>3.9(2028-06-20)</t>
  </si>
  <si>
    <t>pricedate</t>
  </si>
  <si>
    <t>index_short_name</t>
  </si>
  <si>
    <t>ig_hy_em</t>
  </si>
  <si>
    <t>index_series</t>
  </si>
  <si>
    <t>index_coupon</t>
  </si>
  <si>
    <t>index_version</t>
  </si>
  <si>
    <t>index_maturity</t>
  </si>
  <si>
    <t>attachment</t>
  </si>
  <si>
    <t>detachment</t>
  </si>
  <si>
    <t>index_ref_spread_mid</t>
  </si>
  <si>
    <t>spread_quote</t>
  </si>
  <si>
    <t>macro_product</t>
  </si>
  <si>
    <t>index_maturity_years</t>
  </si>
  <si>
    <t>index_currency</t>
  </si>
  <si>
    <t>12mR+C-Diff Series</t>
  </si>
  <si>
    <t>12mR+C-Diff Series % of Quote</t>
  </si>
  <si>
    <t>12mR+C-Diff Series % Rtn</t>
  </si>
  <si>
    <t>12m Upfront(bps)</t>
  </si>
  <si>
    <t>default_count</t>
  </si>
  <si>
    <t>realised_loss</t>
  </si>
  <si>
    <t>basis</t>
  </si>
  <si>
    <t>2024-05-31</t>
  </si>
  <si>
    <t>ITRAXX XOVER</t>
  </si>
  <si>
    <t>HY</t>
  </si>
  <si>
    <t>index</t>
  </si>
  <si>
    <t>EUR</t>
  </si>
  <si>
    <t>9.4(2033-12-20)</t>
  </si>
  <si>
    <t>1.4(2025-12-20)</t>
  </si>
  <si>
    <t>ITRAXX XOVER 35.0</t>
  </si>
  <si>
    <t>1.9(2026-06-20)</t>
  </si>
  <si>
    <t>ITRAXX XOVER 36.0</t>
  </si>
  <si>
    <t>WITH CASH BENCHMARKED</t>
  </si>
  <si>
    <t>ITRAXX XOVER 34</t>
  </si>
  <si>
    <t>ITRAXX XOVER 38.0</t>
  </si>
  <si>
    <t>3.4(2027-12-20)</t>
  </si>
  <si>
    <t>ITRAXX XOVER 37.0</t>
  </si>
  <si>
    <t>2.9(2027-06-20)</t>
  </si>
  <si>
    <t>ITRAXX XOVER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</si>
</sst>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0%"/>
    <numFmt numFmtId="165" formatCode="0.0000000"/>
    <numFmt numFmtId="166" formatCode="0.0"/>
    <numFmt numFmtId="167" formatCode="_-* #,##0_-;\-* #,##0_-;_-* &quot;-&quot;??_-;_-@_-"/>
    <numFmt numFmtId="172" formatCode="yyyy\-mm\-dd\ hh:mm:ss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4" fontId="0" fillId="0" borderId="0" xfId="0" applyNumberFormat="1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2" fillId="0" borderId="0" xfId="0" applyNumberFormat="1" applyFont="1"/>
    <xf numFmtId="166" fontId="0" fillId="0" borderId="0" xfId="0" applyNumberFormat="1"/>
    <xf numFmtId="2" fontId="0" fillId="0" borderId="0" xfId="0" applyNumberFormat="1"/>
    <xf numFmtId="0" fontId="0" fillId="2" borderId="0" xfId="0" applyFill="1"/>
    <xf numFmtId="165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4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/>
    <xf numFmtId="0" fontId="4" fillId="0" borderId="1" xfId="0" applyFont="1" applyBorder="1" applyAlignment="1">
      <alignment horizontal="center" vertical="top"/>
    </xf>
    <xf numFmtId="172" fontId="0" fillId="0" borderId="0" xfId="0" applyNumberFormat="1"/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/>
    <xf numFmtId="0" fontId="4" fillId="0" borderId="1" xfId="0" applyFont="1" applyBorder="1" applyAlignment="1">
      <alignment horizontal="center" vertical="top"/>
    </xf>
    <xf numFmtId="172" fontId="0" fillId="0" borderId="0" xfId="0" applyNumberFormat="1"/>
    <xf numFmtId="0" fontId="0" fillId="0" borderId="0" xfId="0" applyFill="1"/>
    <xf numFmtId="167" fontId="4" fillId="0" borderId="1" xfId="1" applyNumberFormat="1" applyFont="1" applyBorder="1" applyAlignment="1">
      <alignment horizontal="center" vertical="top"/>
    </xf>
    <xf numFmtId="167" fontId="0" fillId="2" borderId="0" xfId="1" applyNumberFormat="1" applyFont="1" applyFill="1"/>
    <xf numFmtId="167" fontId="0" fillId="0" borderId="0" xfId="1" applyNumberFormat="1" applyFont="1" applyFill="1"/>
    <xf numFmtId="0" fontId="0" fillId="0" borderId="2" xfId="0" applyBorder="1"/>
    <xf numFmtId="0" fontId="0" fillId="0" borderId="3" xfId="0" applyFill="1" applyBorder="1"/>
    <xf numFmtId="0" fontId="0" fillId="2" borderId="3" xfId="0" applyFill="1" applyBorder="1"/>
    <xf numFmtId="0" fontId="0" fillId="0" borderId="3" xfId="0" applyBorder="1"/>
    <xf numFmtId="167" fontId="0" fillId="2" borderId="3" xfId="1" applyNumberFormat="1" applyFont="1" applyFill="1" applyBorder="1"/>
    <xf numFmtId="0" fontId="0" fillId="2" borderId="4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0E93-CBDF-45A6-B66B-9A0457DEAAF7}">
  <dimension ref="A1:N32"/>
  <sheetViews>
    <sheetView workbookViewId="0">
      <selection activeCell="L21" sqref="L21:L25"/>
    </sheetView>
  </sheetViews>
  <sheetFormatPr defaultRowHeight="15" x14ac:dyDescent="0.25"/>
  <cols>
    <col min="1" max="1" width="24.7109375" bestFit="1" customWidth="1"/>
    <col min="2" max="2" width="19.85546875" bestFit="1" customWidth="1"/>
    <col min="3" max="3" width="17.85546875" bestFit="1" customWidth="1"/>
    <col min="4" max="4" width="11.5703125" bestFit="1" customWidth="1"/>
    <col min="5" max="5" width="12.140625" bestFit="1" customWidth="1"/>
    <col min="6" max="6" width="11.5703125" bestFit="1" customWidth="1"/>
    <col min="7" max="7" width="20.140625" bestFit="1" customWidth="1"/>
    <col min="9" max="9" width="20.140625" bestFit="1" customWidth="1"/>
    <col min="10" max="10" width="20.5703125" bestFit="1" customWidth="1"/>
    <col min="11" max="11" width="17.42578125" bestFit="1" customWidth="1"/>
    <col min="12" max="12" width="21" bestFit="1" customWidth="1"/>
    <col min="13" max="13" width="4.5703125" bestFit="1" customWidth="1"/>
    <col min="14" max="14" width="5.42578125" bestFit="1" customWidth="1"/>
  </cols>
  <sheetData>
    <row r="1" spans="1:14" x14ac:dyDescent="0.25">
      <c r="A1" t="s">
        <v>0</v>
      </c>
      <c r="B1" t="s">
        <v>1</v>
      </c>
      <c r="C1" t="s">
        <v>2</v>
      </c>
    </row>
    <row r="2" spans="1:14" x14ac:dyDescent="0.25">
      <c r="A2" s="1">
        <v>0</v>
      </c>
      <c r="B2" s="1">
        <v>0.1</v>
      </c>
      <c r="C2" s="1">
        <f>B2-A2</f>
        <v>0.1</v>
      </c>
    </row>
    <row r="3" spans="1:14" x14ac:dyDescent="0.25">
      <c r="A3" s="1">
        <v>0.1</v>
      </c>
      <c r="B3" s="1">
        <v>0.2</v>
      </c>
      <c r="C3" s="1">
        <f>B3-A3</f>
        <v>0.1</v>
      </c>
    </row>
    <row r="4" spans="1:14" x14ac:dyDescent="0.25">
      <c r="A4" s="1">
        <v>0.2</v>
      </c>
      <c r="B4" s="1">
        <v>0.35</v>
      </c>
      <c r="C4" s="1">
        <f>B4-A4</f>
        <v>0.14999999999999997</v>
      </c>
    </row>
    <row r="5" spans="1:14" x14ac:dyDescent="0.25">
      <c r="A5" s="1">
        <v>0.35</v>
      </c>
      <c r="B5" s="1">
        <v>1</v>
      </c>
      <c r="C5" s="1">
        <f>B5-A5</f>
        <v>0.65</v>
      </c>
      <c r="G5">
        <f>0.1-G6</f>
        <v>6.9690721649484533E-2</v>
      </c>
      <c r="K5" t="s">
        <v>20</v>
      </c>
    </row>
    <row r="6" spans="1:14" x14ac:dyDescent="0.25">
      <c r="G6">
        <f>G9/E9</f>
        <v>3.0309278350515466E-2</v>
      </c>
    </row>
    <row r="7" spans="1:14" x14ac:dyDescent="0.25">
      <c r="A7" s="2" t="s">
        <v>17</v>
      </c>
      <c r="D7" t="s">
        <v>18</v>
      </c>
    </row>
    <row r="8" spans="1:14" x14ac:dyDescent="0.25">
      <c r="A8" t="s">
        <v>3</v>
      </c>
      <c r="B8" t="s">
        <v>4</v>
      </c>
      <c r="C8" t="s">
        <v>5</v>
      </c>
      <c r="D8" t="s">
        <v>6</v>
      </c>
      <c r="E8" t="s">
        <v>7</v>
      </c>
      <c r="F8" s="2" t="s">
        <v>8</v>
      </c>
      <c r="G8" s="2" t="s">
        <v>9</v>
      </c>
      <c r="I8" t="s">
        <v>10</v>
      </c>
      <c r="J8" t="s">
        <v>11</v>
      </c>
      <c r="K8" t="s">
        <v>12</v>
      </c>
      <c r="L8" s="2" t="s">
        <v>13</v>
      </c>
    </row>
    <row r="9" spans="1:14" x14ac:dyDescent="0.25">
      <c r="A9" t="s">
        <v>16</v>
      </c>
      <c r="B9">
        <v>0.05</v>
      </c>
      <c r="C9">
        <f t="shared" ref="C9:C11" si="0">1-B9</f>
        <v>0.95</v>
      </c>
      <c r="D9">
        <v>0.01</v>
      </c>
      <c r="E9">
        <f>1-SUM(D9:D18)</f>
        <v>0.97</v>
      </c>
      <c r="F9" s="3">
        <f>COUNTA(A9:A18)</f>
        <v>2</v>
      </c>
      <c r="G9" s="4">
        <f>SUMPRODUCT(C9:C18,D9:D18)</f>
        <v>2.9400000000000003E-2</v>
      </c>
      <c r="I9" s="4">
        <v>0</v>
      </c>
      <c r="J9" s="4">
        <f>($B$2-SUMPRODUCT(C9:C18,D9:D18))/E9</f>
        <v>7.2783505154639175E-2</v>
      </c>
      <c r="K9" s="5">
        <f>(J9-I9)*E9</f>
        <v>7.0599999999999996E-2</v>
      </c>
      <c r="L9" s="8">
        <f>K9/$C$2</f>
        <v>0.70599999999999996</v>
      </c>
    </row>
    <row r="10" spans="1:14" x14ac:dyDescent="0.25">
      <c r="A10" t="s">
        <v>19</v>
      </c>
      <c r="B10">
        <v>0.01</v>
      </c>
      <c r="C10">
        <f t="shared" si="0"/>
        <v>0.99</v>
      </c>
      <c r="D10">
        <v>0.01</v>
      </c>
      <c r="I10" s="4">
        <f>J9</f>
        <v>7.2783505154639175E-2</v>
      </c>
      <c r="J10" s="4">
        <f>($B$3-SUMPRODUCT(C9:C18,D9:D18))/E9</f>
        <v>0.17587628865979382</v>
      </c>
      <c r="K10" s="6">
        <f>(J10-I10)*E9</f>
        <v>0.1</v>
      </c>
      <c r="L10">
        <f>K10/$C$3</f>
        <v>1</v>
      </c>
    </row>
    <row r="11" spans="1:14" x14ac:dyDescent="0.25">
      <c r="B11">
        <v>0</v>
      </c>
      <c r="C11">
        <f t="shared" si="0"/>
        <v>1</v>
      </c>
      <c r="D11">
        <v>0.01</v>
      </c>
      <c r="G11" s="2" t="s">
        <v>14</v>
      </c>
      <c r="I11" s="4">
        <f>J10</f>
        <v>0.17587628865979382</v>
      </c>
      <c r="J11" s="4">
        <f>($B$4-SUMPRODUCT(C9:C18,D9:D18))/E9</f>
        <v>0.33051546391752579</v>
      </c>
      <c r="K11" s="6">
        <f>(J11-I11)*E9</f>
        <v>0.15</v>
      </c>
      <c r="L11">
        <f>K11/$C$4</f>
        <v>1.0000000000000002</v>
      </c>
    </row>
    <row r="12" spans="1:14" x14ac:dyDescent="0.25">
      <c r="A12" s="2"/>
      <c r="G12" s="4">
        <f>SUMPRODUCT(B9:B18,D9:D18)</f>
        <v>6.0000000000000006E-4</v>
      </c>
      <c r="I12" s="4">
        <f>J11</f>
        <v>0.33051546391752579</v>
      </c>
      <c r="J12" s="4">
        <v>1</v>
      </c>
      <c r="K12" s="5">
        <f>(J12-I12)*E9</f>
        <v>0.64939999999999987</v>
      </c>
      <c r="L12" s="8">
        <f>K12/$C$5</f>
        <v>0.99907692307692286</v>
      </c>
    </row>
    <row r="13" spans="1:14" x14ac:dyDescent="0.25">
      <c r="A13" s="2"/>
      <c r="I13" s="4"/>
      <c r="J13" s="4"/>
      <c r="L13" t="s">
        <v>15</v>
      </c>
      <c r="M13" s="7">
        <f>SUM(K9:K12)</f>
        <v>0.96999999999999986</v>
      </c>
      <c r="N13" t="b">
        <f>M13=E9</f>
        <v>1</v>
      </c>
    </row>
    <row r="14" spans="1:14" x14ac:dyDescent="0.25">
      <c r="E14">
        <f>0.025/E9</f>
        <v>2.5773195876288662E-2</v>
      </c>
      <c r="I14" s="4"/>
      <c r="J14" s="4"/>
      <c r="M14" s="7"/>
    </row>
    <row r="15" spans="1:14" x14ac:dyDescent="0.25">
      <c r="E15">
        <f>0.1-E14</f>
        <v>7.422680412371134E-2</v>
      </c>
      <c r="I15" s="4"/>
      <c r="J15" s="4"/>
      <c r="K15" s="9">
        <f>SUM(K9:K12)</f>
        <v>0.96999999999999986</v>
      </c>
      <c r="M15" s="7"/>
    </row>
    <row r="22" spans="1:11" x14ac:dyDescent="0.25">
      <c r="A22" t="s">
        <v>21</v>
      </c>
      <c r="B22" t="s">
        <v>2</v>
      </c>
      <c r="C22" t="s">
        <v>23</v>
      </c>
    </row>
    <row r="23" spans="1:11" x14ac:dyDescent="0.25">
      <c r="A23" t="s">
        <v>22</v>
      </c>
      <c r="B23" s="11">
        <v>10000000</v>
      </c>
      <c r="C23">
        <f>1+0.03</f>
        <v>1.03</v>
      </c>
    </row>
    <row r="24" spans="1:11" x14ac:dyDescent="0.25">
      <c r="B24">
        <v>3.3620000000000001</v>
      </c>
      <c r="C24">
        <v>2.988</v>
      </c>
      <c r="D24">
        <v>2.79</v>
      </c>
      <c r="E24">
        <v>2.6829999999999998</v>
      </c>
      <c r="F24">
        <v>2.62</v>
      </c>
    </row>
    <row r="25" spans="1:11" x14ac:dyDescent="0.25">
      <c r="B25">
        <f>(B24/100)+1</f>
        <v>1.03362</v>
      </c>
      <c r="C25">
        <f t="shared" ref="C25:F25" si="1">(C24/100)+1</f>
        <v>1.0298799999999999</v>
      </c>
      <c r="D25">
        <f t="shared" si="1"/>
        <v>1.0279</v>
      </c>
      <c r="E25">
        <f t="shared" si="1"/>
        <v>1.0268299999999999</v>
      </c>
      <c r="F25">
        <f t="shared" si="1"/>
        <v>1.0262</v>
      </c>
    </row>
    <row r="26" spans="1:11" x14ac:dyDescent="0.25">
      <c r="B26">
        <v>1</v>
      </c>
      <c r="C26">
        <v>2</v>
      </c>
      <c r="D26">
        <v>3</v>
      </c>
      <c r="E26">
        <v>4</v>
      </c>
      <c r="F26">
        <v>5</v>
      </c>
    </row>
    <row r="27" spans="1:11" x14ac:dyDescent="0.25">
      <c r="A27" t="s">
        <v>24</v>
      </c>
      <c r="B27">
        <f>150/10000</f>
        <v>1.4999999999999999E-2</v>
      </c>
      <c r="C27">
        <f t="shared" ref="C27:F27" si="2">150/10000</f>
        <v>1.4999999999999999E-2</v>
      </c>
      <c r="D27">
        <f t="shared" si="2"/>
        <v>1.4999999999999999E-2</v>
      </c>
      <c r="E27">
        <f t="shared" si="2"/>
        <v>1.4999999999999999E-2</v>
      </c>
      <c r="F27">
        <f t="shared" si="2"/>
        <v>1.4999999999999999E-2</v>
      </c>
    </row>
    <row r="28" spans="1:11" x14ac:dyDescent="0.25">
      <c r="B28" s="11">
        <f>(B27*$B$23)/(B25^B26)</f>
        <v>145121.03093980381</v>
      </c>
      <c r="C28" s="11">
        <f t="shared" ref="C28:F28" si="3">(C27*$B$23)/(C25^C26)</f>
        <v>141422.33722809044</v>
      </c>
      <c r="D28" s="11">
        <f t="shared" si="3"/>
        <v>138114.3045271133</v>
      </c>
      <c r="E28" s="11">
        <f t="shared" si="3"/>
        <v>134926.44091226789</v>
      </c>
      <c r="F28" s="11">
        <f t="shared" si="3"/>
        <v>131804.79423300931</v>
      </c>
      <c r="G28" s="10">
        <f>SUM(B28:F28)</f>
        <v>691388.90784028475</v>
      </c>
    </row>
    <row r="32" spans="1:11" x14ac:dyDescent="0.25">
      <c r="I32">
        <v>500000000</v>
      </c>
      <c r="J32">
        <f>60/10000</f>
        <v>6.0000000000000001E-3</v>
      </c>
      <c r="K32" s="10">
        <f>(I32*J32)/12</f>
        <v>250000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9B9C-00D7-42FE-B8D8-11BD1089CD14}">
  <dimension ref="A1:U35"/>
  <sheetViews>
    <sheetView tabSelected="1" zoomScale="90" zoomScaleNormal="90" workbookViewId="0">
      <selection activeCell="B25" sqref="B25"/>
    </sheetView>
  </sheetViews>
  <sheetFormatPr defaultRowHeight="15" x14ac:dyDescent="0.25"/>
  <cols>
    <col min="1" max="1" width="16.28515625" bestFit="1" customWidth="1"/>
    <col min="2" max="2" width="17.85546875" bestFit="1" customWidth="1"/>
    <col min="4" max="4" width="14.140625" bestFit="1" customWidth="1"/>
    <col min="5" max="5" width="16.28515625" customWidth="1"/>
    <col min="7" max="7" width="20.7109375" customWidth="1"/>
    <col min="14" max="14" width="20.85546875" bestFit="1" customWidth="1"/>
    <col min="15" max="15" width="21.140625" style="11" bestFit="1" customWidth="1"/>
    <col min="16" max="16" width="23" customWidth="1"/>
    <col min="17" max="17" width="20" customWidth="1"/>
    <col min="18" max="18" width="18.140625" bestFit="1" customWidth="1"/>
    <col min="20" max="20" width="23.7109375" bestFit="1" customWidth="1"/>
    <col min="21" max="21" width="16.85546875" bestFit="1" customWidth="1"/>
  </cols>
  <sheetData>
    <row r="1" spans="1:21" x14ac:dyDescent="0.25">
      <c r="A1" t="s">
        <v>86</v>
      </c>
    </row>
    <row r="2" spans="1:21" x14ac:dyDescent="0.25">
      <c r="A2" s="14" t="s">
        <v>25</v>
      </c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33</v>
      </c>
      <c r="J2" s="14" t="s">
        <v>34</v>
      </c>
      <c r="K2" s="14" t="s">
        <v>35</v>
      </c>
      <c r="L2" s="14" t="s">
        <v>36</v>
      </c>
      <c r="M2" s="14" t="s">
        <v>37</v>
      </c>
      <c r="N2" s="14" t="s">
        <v>38</v>
      </c>
      <c r="O2" s="24" t="s">
        <v>39</v>
      </c>
      <c r="P2" s="14" t="s">
        <v>40</v>
      </c>
      <c r="Q2" s="14" t="s">
        <v>41</v>
      </c>
      <c r="R2" s="14" t="s">
        <v>42</v>
      </c>
    </row>
    <row r="3" spans="1:21" x14ac:dyDescent="0.25">
      <c r="A3" s="13" t="s">
        <v>51</v>
      </c>
      <c r="B3" s="13" t="s">
        <v>43</v>
      </c>
      <c r="C3" s="13" t="s">
        <v>44</v>
      </c>
      <c r="D3" s="13" t="s">
        <v>45</v>
      </c>
      <c r="E3" s="13" t="s">
        <v>53</v>
      </c>
      <c r="F3" s="13" t="s">
        <v>43</v>
      </c>
      <c r="G3" s="13" t="s">
        <v>54</v>
      </c>
      <c r="H3" s="13" t="s">
        <v>48</v>
      </c>
      <c r="I3" s="12">
        <v>1.29</v>
      </c>
      <c r="J3" s="13" t="s">
        <v>49</v>
      </c>
      <c r="K3" s="13" t="s">
        <v>52</v>
      </c>
      <c r="L3" s="13">
        <v>85</v>
      </c>
      <c r="M3" s="13">
        <v>10.66</v>
      </c>
      <c r="N3" s="13">
        <v>5.7</v>
      </c>
      <c r="O3" s="11">
        <v>81.400000000000006</v>
      </c>
      <c r="P3" s="13">
        <v>164</v>
      </c>
      <c r="Q3" s="13">
        <v>12</v>
      </c>
      <c r="R3" s="13"/>
    </row>
    <row r="5" spans="1:21" x14ac:dyDescent="0.25">
      <c r="A5" s="16" t="s">
        <v>55</v>
      </c>
      <c r="B5" s="16" t="s">
        <v>56</v>
      </c>
      <c r="C5" s="16" t="s">
        <v>57</v>
      </c>
      <c r="D5" s="16" t="s">
        <v>58</v>
      </c>
      <c r="E5" s="16" t="s">
        <v>59</v>
      </c>
      <c r="F5" s="16" t="s">
        <v>60</v>
      </c>
      <c r="G5" s="16" t="s">
        <v>61</v>
      </c>
      <c r="H5" s="16" t="s">
        <v>62</v>
      </c>
      <c r="I5" s="16" t="s">
        <v>63</v>
      </c>
      <c r="J5" s="16" t="s">
        <v>64</v>
      </c>
      <c r="K5" s="16" t="s">
        <v>65</v>
      </c>
      <c r="L5" s="16" t="s">
        <v>66</v>
      </c>
      <c r="M5" s="16" t="s">
        <v>67</v>
      </c>
      <c r="N5" s="16" t="s">
        <v>68</v>
      </c>
      <c r="O5" s="24" t="s">
        <v>69</v>
      </c>
      <c r="P5" s="16" t="s">
        <v>70</v>
      </c>
      <c r="Q5" s="16" t="s">
        <v>71</v>
      </c>
      <c r="R5" s="16" t="s">
        <v>72</v>
      </c>
      <c r="S5" s="16" t="s">
        <v>73</v>
      </c>
      <c r="T5" s="16" t="s">
        <v>74</v>
      </c>
      <c r="U5" s="16" t="s">
        <v>75</v>
      </c>
    </row>
    <row r="6" spans="1:21" x14ac:dyDescent="0.25">
      <c r="A6" s="15" t="s">
        <v>76</v>
      </c>
      <c r="B6" s="15" t="s">
        <v>77</v>
      </c>
      <c r="C6" s="15" t="s">
        <v>78</v>
      </c>
      <c r="D6" s="15">
        <v>40</v>
      </c>
      <c r="E6" s="15">
        <v>500</v>
      </c>
      <c r="F6" s="15">
        <v>1</v>
      </c>
      <c r="G6" s="17">
        <v>46376</v>
      </c>
      <c r="H6" s="15">
        <v>0</v>
      </c>
      <c r="I6" s="15">
        <v>1</v>
      </c>
      <c r="J6" s="23">
        <v>268.10000000000002</v>
      </c>
      <c r="K6" s="8">
        <v>268.10000000000002</v>
      </c>
      <c r="L6" s="15" t="s">
        <v>79</v>
      </c>
      <c r="M6" s="15">
        <v>2.4</v>
      </c>
      <c r="N6" s="15" t="s">
        <v>80</v>
      </c>
      <c r="O6" s="25">
        <v>427</v>
      </c>
      <c r="P6" s="15">
        <v>1.59</v>
      </c>
      <c r="Q6" s="15">
        <v>77</v>
      </c>
      <c r="R6" s="8">
        <v>556</v>
      </c>
      <c r="S6" s="15"/>
      <c r="T6" s="15"/>
      <c r="U6" s="15"/>
    </row>
    <row r="7" spans="1:21" x14ac:dyDescent="0.25">
      <c r="A7" s="15" t="s">
        <v>76</v>
      </c>
      <c r="B7" s="15" t="s">
        <v>77</v>
      </c>
      <c r="C7" s="15" t="s">
        <v>78</v>
      </c>
      <c r="D7" s="15">
        <v>40</v>
      </c>
      <c r="E7" s="15">
        <v>500</v>
      </c>
      <c r="F7" s="15">
        <v>1</v>
      </c>
      <c r="G7" s="17">
        <v>47107</v>
      </c>
      <c r="H7" s="15">
        <v>0</v>
      </c>
      <c r="I7" s="15">
        <v>1</v>
      </c>
      <c r="J7" s="23">
        <v>305.19310000000002</v>
      </c>
      <c r="K7" s="15">
        <v>305.2</v>
      </c>
      <c r="L7" s="15" t="s">
        <v>79</v>
      </c>
      <c r="M7" s="15">
        <v>4.4000000000000004</v>
      </c>
      <c r="N7" s="15" t="s">
        <v>80</v>
      </c>
      <c r="O7" s="11">
        <v>581</v>
      </c>
      <c r="P7" s="15">
        <v>1.9</v>
      </c>
      <c r="Q7" s="15">
        <v>71</v>
      </c>
      <c r="R7" s="15">
        <v>819</v>
      </c>
      <c r="S7" s="15">
        <v>0</v>
      </c>
      <c r="T7" s="15"/>
      <c r="U7" s="15">
        <v>-51</v>
      </c>
    </row>
    <row r="8" spans="1:21" ht="15.75" thickBot="1" x14ac:dyDescent="0.3">
      <c r="A8" s="15" t="s">
        <v>76</v>
      </c>
      <c r="B8" s="15" t="s">
        <v>77</v>
      </c>
      <c r="C8" s="15" t="s">
        <v>78</v>
      </c>
      <c r="D8" s="15">
        <v>40</v>
      </c>
      <c r="E8" s="15">
        <v>500</v>
      </c>
      <c r="F8" s="15">
        <v>1</v>
      </c>
      <c r="G8" s="17">
        <v>48933</v>
      </c>
      <c r="H8" s="15">
        <v>0</v>
      </c>
      <c r="I8" s="15">
        <v>1</v>
      </c>
      <c r="J8" s="23">
        <v>363.15</v>
      </c>
      <c r="K8" s="23">
        <v>363.2</v>
      </c>
      <c r="L8" s="23" t="s">
        <v>79</v>
      </c>
      <c r="M8" s="23">
        <v>9.4</v>
      </c>
      <c r="N8" s="23" t="s">
        <v>80</v>
      </c>
      <c r="O8" s="26">
        <v>597</v>
      </c>
      <c r="P8" s="23">
        <v>1.64</v>
      </c>
      <c r="Q8" s="15">
        <v>52</v>
      </c>
      <c r="R8" s="15">
        <v>1138</v>
      </c>
      <c r="S8" s="15"/>
      <c r="T8" s="15"/>
      <c r="U8" s="15"/>
    </row>
    <row r="9" spans="1:21" ht="15.75" thickBot="1" x14ac:dyDescent="0.3">
      <c r="A9" s="15" t="s">
        <v>76</v>
      </c>
      <c r="B9" s="15" t="s">
        <v>77</v>
      </c>
      <c r="C9" s="15" t="s">
        <v>78</v>
      </c>
      <c r="D9" s="15">
        <v>39</v>
      </c>
      <c r="E9" s="15">
        <v>500</v>
      </c>
      <c r="F9" s="15">
        <v>2</v>
      </c>
      <c r="G9" s="17">
        <v>46924</v>
      </c>
      <c r="H9" s="15">
        <v>0</v>
      </c>
      <c r="I9" s="27">
        <v>1</v>
      </c>
      <c r="J9" s="28">
        <v>240.45830000000001</v>
      </c>
      <c r="K9" s="29">
        <v>240.5</v>
      </c>
      <c r="L9" s="30" t="s">
        <v>79</v>
      </c>
      <c r="M9" s="30">
        <v>3.9</v>
      </c>
      <c r="N9" s="30" t="s">
        <v>80</v>
      </c>
      <c r="O9" s="31">
        <v>228</v>
      </c>
      <c r="P9" s="30">
        <v>1.41</v>
      </c>
      <c r="Q9" s="30">
        <v>35</v>
      </c>
      <c r="R9" s="32">
        <v>976</v>
      </c>
      <c r="S9" s="15">
        <v>1</v>
      </c>
      <c r="T9" s="15"/>
      <c r="U9" s="15">
        <v>-87</v>
      </c>
    </row>
    <row r="10" spans="1:21" x14ac:dyDescent="0.25">
      <c r="J10" s="23"/>
      <c r="K10" s="8">
        <f>K9*(1/I3)</f>
        <v>186.43410852713177</v>
      </c>
      <c r="O10" s="11">
        <f>O9*(1/I3)</f>
        <v>176.7441860465116</v>
      </c>
    </row>
    <row r="11" spans="1:21" x14ac:dyDescent="0.25">
      <c r="J11" s="23"/>
      <c r="O11" s="25">
        <f>O6-O10</f>
        <v>250.2558139534884</v>
      </c>
    </row>
    <row r="13" spans="1:21" x14ac:dyDescent="0.25">
      <c r="A13" s="19" t="s">
        <v>25</v>
      </c>
      <c r="B13" s="19" t="s">
        <v>26</v>
      </c>
      <c r="C13" s="19" t="s">
        <v>27</v>
      </c>
      <c r="D13" s="19" t="s">
        <v>28</v>
      </c>
      <c r="E13" s="19" t="s">
        <v>29</v>
      </c>
      <c r="F13" s="19" t="s">
        <v>30</v>
      </c>
      <c r="G13" s="19" t="s">
        <v>31</v>
      </c>
      <c r="H13" s="19" t="s">
        <v>32</v>
      </c>
      <c r="I13" s="19" t="s">
        <v>33</v>
      </c>
      <c r="J13" s="19" t="s">
        <v>34</v>
      </c>
      <c r="K13" s="19" t="s">
        <v>35</v>
      </c>
      <c r="L13" s="19" t="s">
        <v>36</v>
      </c>
      <c r="M13" s="19" t="s">
        <v>37</v>
      </c>
      <c r="N13" s="19" t="s">
        <v>38</v>
      </c>
      <c r="O13" s="24" t="s">
        <v>39</v>
      </c>
      <c r="P13" s="19" t="s">
        <v>40</v>
      </c>
      <c r="Q13" s="19" t="s">
        <v>41</v>
      </c>
      <c r="R13" s="19" t="s">
        <v>42</v>
      </c>
    </row>
    <row r="14" spans="1:21" x14ac:dyDescent="0.25">
      <c r="A14" s="18" t="s">
        <v>51</v>
      </c>
      <c r="B14" s="18" t="s">
        <v>43</v>
      </c>
      <c r="C14" s="18" t="s">
        <v>44</v>
      </c>
      <c r="D14" s="18" t="s">
        <v>45</v>
      </c>
      <c r="E14" s="18" t="s">
        <v>53</v>
      </c>
      <c r="F14" s="18" t="s">
        <v>43</v>
      </c>
      <c r="G14" s="18" t="s">
        <v>54</v>
      </c>
      <c r="H14" s="18" t="s">
        <v>48</v>
      </c>
      <c r="I14" s="12">
        <v>1.3</v>
      </c>
      <c r="J14" s="18" t="s">
        <v>49</v>
      </c>
      <c r="K14" s="18" t="s">
        <v>52</v>
      </c>
      <c r="L14" s="18">
        <v>85</v>
      </c>
      <c r="M14" s="18">
        <v>10.6</v>
      </c>
      <c r="N14" s="18">
        <v>5.4</v>
      </c>
      <c r="O14" s="11">
        <v>83.7</v>
      </c>
      <c r="P14" s="18">
        <v>249</v>
      </c>
      <c r="Q14" s="18">
        <v>19</v>
      </c>
      <c r="R14" s="18"/>
    </row>
    <row r="16" spans="1:21" x14ac:dyDescent="0.25">
      <c r="A16" s="21" t="s">
        <v>55</v>
      </c>
      <c r="B16" s="21" t="s">
        <v>56</v>
      </c>
      <c r="C16" s="21" t="s">
        <v>57</v>
      </c>
      <c r="D16" s="21" t="s">
        <v>58</v>
      </c>
      <c r="E16" s="21" t="s">
        <v>59</v>
      </c>
      <c r="F16" s="21" t="s">
        <v>60</v>
      </c>
      <c r="G16" s="21" t="s">
        <v>61</v>
      </c>
      <c r="H16" s="21" t="s">
        <v>62</v>
      </c>
      <c r="I16" s="21" t="s">
        <v>63</v>
      </c>
      <c r="J16" s="21" t="s">
        <v>64</v>
      </c>
      <c r="K16" s="21" t="s">
        <v>65</v>
      </c>
      <c r="L16" s="21" t="s">
        <v>66</v>
      </c>
      <c r="M16" s="21" t="s">
        <v>67</v>
      </c>
      <c r="N16" s="21" t="s">
        <v>68</v>
      </c>
      <c r="O16" s="21" t="s">
        <v>69</v>
      </c>
      <c r="P16" s="21" t="s">
        <v>70</v>
      </c>
      <c r="Q16" s="21" t="s">
        <v>71</v>
      </c>
      <c r="R16" s="21" t="s">
        <v>72</v>
      </c>
      <c r="S16" s="21" t="s">
        <v>73</v>
      </c>
      <c r="T16" s="21" t="s">
        <v>74</v>
      </c>
      <c r="U16" s="21" t="s">
        <v>75</v>
      </c>
    </row>
    <row r="17" spans="1:21" x14ac:dyDescent="0.25">
      <c r="A17" s="20" t="s">
        <v>76</v>
      </c>
      <c r="B17" s="20" t="s">
        <v>77</v>
      </c>
      <c r="C17" s="20" t="s">
        <v>78</v>
      </c>
      <c r="D17" s="20">
        <v>40</v>
      </c>
      <c r="E17" s="20">
        <v>500</v>
      </c>
      <c r="F17" s="20">
        <v>1</v>
      </c>
      <c r="G17" s="22">
        <v>48933</v>
      </c>
      <c r="H17" s="20">
        <v>0</v>
      </c>
      <c r="I17" s="20">
        <v>1</v>
      </c>
      <c r="J17" s="20">
        <v>363.15</v>
      </c>
      <c r="K17" s="20">
        <v>363.2</v>
      </c>
      <c r="L17" s="20" t="s">
        <v>79</v>
      </c>
      <c r="M17" s="20">
        <v>9.4</v>
      </c>
      <c r="N17" s="20" t="s">
        <v>80</v>
      </c>
      <c r="O17" s="20">
        <v>614</v>
      </c>
      <c r="P17" s="20">
        <v>1.69</v>
      </c>
      <c r="Q17" s="20">
        <v>54</v>
      </c>
      <c r="R17" s="20">
        <v>1138</v>
      </c>
      <c r="S17" s="20"/>
      <c r="T17" s="20"/>
      <c r="U17" s="20"/>
    </row>
    <row r="18" spans="1:21" x14ac:dyDescent="0.25">
      <c r="A18" s="20" t="s">
        <v>76</v>
      </c>
      <c r="B18" s="20" t="s">
        <v>77</v>
      </c>
      <c r="C18" s="20" t="s">
        <v>78</v>
      </c>
      <c r="D18" s="20">
        <v>40</v>
      </c>
      <c r="E18" s="20">
        <v>500</v>
      </c>
      <c r="F18" s="20">
        <v>1</v>
      </c>
      <c r="G18" s="22">
        <v>47107</v>
      </c>
      <c r="H18" s="20">
        <v>0</v>
      </c>
      <c r="I18" s="20">
        <v>1</v>
      </c>
      <c r="J18" s="20">
        <v>305.19310000000002</v>
      </c>
      <c r="K18" s="20">
        <v>305.2</v>
      </c>
      <c r="L18" s="20" t="s">
        <v>79</v>
      </c>
      <c r="M18" s="20">
        <v>4.4000000000000004</v>
      </c>
      <c r="N18" s="20" t="s">
        <v>80</v>
      </c>
      <c r="O18" s="20">
        <v>593</v>
      </c>
      <c r="P18" s="20">
        <v>1.94</v>
      </c>
      <c r="Q18" s="20">
        <v>72</v>
      </c>
      <c r="R18" s="20">
        <v>819</v>
      </c>
      <c r="S18" s="20">
        <v>0</v>
      </c>
      <c r="T18" s="20"/>
      <c r="U18" s="20">
        <v>-51</v>
      </c>
    </row>
    <row r="19" spans="1:21" x14ac:dyDescent="0.25">
      <c r="A19" s="20" t="s">
        <v>76</v>
      </c>
      <c r="B19" s="20" t="s">
        <v>77</v>
      </c>
      <c r="C19" s="20" t="s">
        <v>78</v>
      </c>
      <c r="D19" s="20">
        <v>40</v>
      </c>
      <c r="E19" s="20">
        <v>500</v>
      </c>
      <c r="F19" s="20">
        <v>1</v>
      </c>
      <c r="G19" s="22">
        <v>46376</v>
      </c>
      <c r="H19" s="20">
        <v>0</v>
      </c>
      <c r="I19" s="20">
        <v>1</v>
      </c>
      <c r="J19" s="20">
        <v>268.10000000000002</v>
      </c>
      <c r="K19" s="8">
        <v>268.10000000000002</v>
      </c>
      <c r="L19" s="20" t="s">
        <v>79</v>
      </c>
      <c r="M19" s="20">
        <v>2.4</v>
      </c>
      <c r="N19" s="20" t="s">
        <v>80</v>
      </c>
      <c r="O19" s="8">
        <v>435</v>
      </c>
      <c r="P19" s="20">
        <v>1.62</v>
      </c>
      <c r="Q19" s="20">
        <v>78</v>
      </c>
      <c r="R19" s="8">
        <v>556</v>
      </c>
      <c r="S19" s="20"/>
      <c r="T19" s="20"/>
      <c r="U19" s="20"/>
    </row>
    <row r="20" spans="1:21" x14ac:dyDescent="0.25">
      <c r="A20" s="20" t="s">
        <v>76</v>
      </c>
      <c r="B20" s="20" t="s">
        <v>77</v>
      </c>
      <c r="C20" s="20" t="s">
        <v>78</v>
      </c>
      <c r="D20" s="20">
        <v>39</v>
      </c>
      <c r="E20" s="20">
        <v>500</v>
      </c>
      <c r="F20" s="20">
        <v>2</v>
      </c>
      <c r="G20" s="22">
        <v>46924</v>
      </c>
      <c r="H20" s="20">
        <v>0</v>
      </c>
      <c r="I20" s="20">
        <v>1</v>
      </c>
      <c r="J20" s="20">
        <v>240.45830000000001</v>
      </c>
      <c r="K20" s="8">
        <v>240.5</v>
      </c>
      <c r="L20" s="20" t="s">
        <v>79</v>
      </c>
      <c r="M20" s="20">
        <v>3.9</v>
      </c>
      <c r="N20" s="20" t="s">
        <v>80</v>
      </c>
      <c r="O20" s="8">
        <v>243</v>
      </c>
      <c r="P20" s="20">
        <v>1.01</v>
      </c>
      <c r="Q20" s="20">
        <v>25</v>
      </c>
      <c r="R20" s="8">
        <v>976</v>
      </c>
      <c r="S20" s="20">
        <v>1</v>
      </c>
      <c r="T20" s="20"/>
      <c r="U20" s="20">
        <v>-87</v>
      </c>
    </row>
    <row r="21" spans="1:21" x14ac:dyDescent="0.25">
      <c r="K21" s="8">
        <f>K20*(1/I3)</f>
        <v>186.43410852713177</v>
      </c>
      <c r="O21" s="11">
        <f>O20*(1/I3)</f>
        <v>188.37209302325579</v>
      </c>
    </row>
    <row r="22" spans="1:21" x14ac:dyDescent="0.25">
      <c r="O22" s="25">
        <f>O19-O21</f>
        <v>246.62790697674421</v>
      </c>
    </row>
    <row r="23" spans="1:21" x14ac:dyDescent="0.25">
      <c r="O23"/>
    </row>
    <row r="24" spans="1:21" x14ac:dyDescent="0.25">
      <c r="A24" s="21" t="s">
        <v>25</v>
      </c>
      <c r="B24" s="21" t="s">
        <v>26</v>
      </c>
      <c r="C24" s="21" t="s">
        <v>27</v>
      </c>
      <c r="D24" s="21" t="s">
        <v>28</v>
      </c>
      <c r="E24" s="21" t="s">
        <v>29</v>
      </c>
      <c r="F24" s="21" t="s">
        <v>30</v>
      </c>
      <c r="G24" s="21" t="s">
        <v>31</v>
      </c>
      <c r="H24" s="21" t="s">
        <v>32</v>
      </c>
      <c r="I24" s="21" t="s">
        <v>33</v>
      </c>
      <c r="J24" s="21" t="s">
        <v>34</v>
      </c>
      <c r="K24" s="21" t="s">
        <v>35</v>
      </c>
      <c r="L24" s="21" t="s">
        <v>36</v>
      </c>
      <c r="M24" s="21" t="s">
        <v>37</v>
      </c>
      <c r="N24" s="21" t="s">
        <v>38</v>
      </c>
      <c r="O24" s="21" t="s">
        <v>39</v>
      </c>
      <c r="P24" s="21" t="s">
        <v>40</v>
      </c>
      <c r="Q24" s="21" t="s">
        <v>41</v>
      </c>
      <c r="R24" s="21" t="s">
        <v>42</v>
      </c>
    </row>
    <row r="25" spans="1:21" x14ac:dyDescent="0.25">
      <c r="A25" s="20" t="s">
        <v>87</v>
      </c>
      <c r="B25" s="20" t="s">
        <v>43</v>
      </c>
      <c r="C25" s="20" t="s">
        <v>82</v>
      </c>
      <c r="D25" s="20" t="s">
        <v>45</v>
      </c>
      <c r="E25" s="20" t="s">
        <v>88</v>
      </c>
      <c r="F25" s="20" t="s">
        <v>43</v>
      </c>
      <c r="G25" s="20" t="s">
        <v>89</v>
      </c>
      <c r="H25" s="20" t="s">
        <v>48</v>
      </c>
      <c r="I25" s="20">
        <v>1.05</v>
      </c>
      <c r="J25" s="20" t="s">
        <v>49</v>
      </c>
      <c r="K25" s="20" t="s">
        <v>50</v>
      </c>
      <c r="L25" s="20">
        <v>91</v>
      </c>
      <c r="M25" s="20">
        <v>11.74</v>
      </c>
      <c r="N25" s="20">
        <v>16.3</v>
      </c>
      <c r="O25" s="20">
        <v>-59.5</v>
      </c>
      <c r="P25" s="20">
        <v>59</v>
      </c>
      <c r="Q25" s="20">
        <v>4</v>
      </c>
      <c r="R25" s="20">
        <v>33</v>
      </c>
    </row>
    <row r="26" spans="1:21" x14ac:dyDescent="0.25">
      <c r="A26" s="20" t="s">
        <v>87</v>
      </c>
      <c r="B26" s="20" t="s">
        <v>43</v>
      </c>
      <c r="C26" s="20" t="s">
        <v>82</v>
      </c>
      <c r="D26" s="20" t="s">
        <v>45</v>
      </c>
      <c r="E26" s="20" t="s">
        <v>46</v>
      </c>
      <c r="F26" s="20" t="s">
        <v>43</v>
      </c>
      <c r="G26" s="20" t="s">
        <v>47</v>
      </c>
      <c r="H26" s="20" t="s">
        <v>48</v>
      </c>
      <c r="I26" s="20">
        <v>1.1200000000000001</v>
      </c>
      <c r="J26" s="20" t="s">
        <v>49</v>
      </c>
      <c r="K26" s="20" t="s">
        <v>50</v>
      </c>
      <c r="L26" s="20">
        <v>87</v>
      </c>
      <c r="M26" s="20">
        <v>8.67</v>
      </c>
      <c r="N26" s="20">
        <v>24.4</v>
      </c>
      <c r="O26" s="20">
        <v>-119</v>
      </c>
      <c r="P26" s="20">
        <v>-368</v>
      </c>
      <c r="Q26" s="20">
        <v>-30</v>
      </c>
      <c r="R26" s="20">
        <v>34</v>
      </c>
    </row>
    <row r="27" spans="1:21" x14ac:dyDescent="0.25">
      <c r="A27" s="20" t="s">
        <v>87</v>
      </c>
      <c r="B27" s="20" t="s">
        <v>43</v>
      </c>
      <c r="C27" s="20" t="s">
        <v>82</v>
      </c>
      <c r="D27" s="20" t="s">
        <v>45</v>
      </c>
      <c r="E27" s="20" t="s">
        <v>85</v>
      </c>
      <c r="F27" s="20" t="s">
        <v>43</v>
      </c>
      <c r="G27" s="20" t="s">
        <v>44</v>
      </c>
      <c r="H27" s="20" t="s">
        <v>48</v>
      </c>
      <c r="I27" s="20">
        <v>1.02</v>
      </c>
      <c r="J27" s="20" t="s">
        <v>49</v>
      </c>
      <c r="K27" s="20" t="s">
        <v>50</v>
      </c>
      <c r="L27" s="20">
        <v>94</v>
      </c>
      <c r="M27" s="20">
        <v>11.9</v>
      </c>
      <c r="N27" s="20">
        <v>5.7</v>
      </c>
      <c r="O27" s="20">
        <v>-31.2</v>
      </c>
      <c r="P27" s="20">
        <v>-72</v>
      </c>
      <c r="Q27" s="20">
        <v>-6</v>
      </c>
      <c r="R27" s="20">
        <v>9</v>
      </c>
    </row>
    <row r="28" spans="1:21" x14ac:dyDescent="0.25">
      <c r="A28" s="20" t="s">
        <v>87</v>
      </c>
      <c r="B28" s="20" t="s">
        <v>43</v>
      </c>
      <c r="C28" s="20" t="s">
        <v>82</v>
      </c>
      <c r="D28" s="20" t="s">
        <v>45</v>
      </c>
      <c r="E28" s="20" t="s">
        <v>53</v>
      </c>
      <c r="F28" s="20" t="s">
        <v>43</v>
      </c>
      <c r="G28" s="20" t="s">
        <v>54</v>
      </c>
      <c r="H28" s="20" t="s">
        <v>48</v>
      </c>
      <c r="I28" s="20">
        <v>1.08</v>
      </c>
      <c r="J28" s="20" t="s">
        <v>49</v>
      </c>
      <c r="K28" s="20" t="s">
        <v>50</v>
      </c>
      <c r="L28" s="20">
        <v>93</v>
      </c>
      <c r="M28" s="20">
        <v>11.57</v>
      </c>
      <c r="N28" s="20">
        <v>20.6</v>
      </c>
      <c r="O28" s="20">
        <v>-70.7</v>
      </c>
      <c r="P28" s="20">
        <v>-63</v>
      </c>
      <c r="Q28" s="20">
        <v>-4</v>
      </c>
      <c r="R28" s="20">
        <v>70</v>
      </c>
    </row>
    <row r="29" spans="1:21" x14ac:dyDescent="0.25">
      <c r="A29" s="20" t="s">
        <v>87</v>
      </c>
      <c r="B29" s="20" t="s">
        <v>43</v>
      </c>
      <c r="C29" s="20" t="s">
        <v>82</v>
      </c>
      <c r="D29" s="20" t="s">
        <v>45</v>
      </c>
      <c r="E29" s="20" t="s">
        <v>90</v>
      </c>
      <c r="F29" s="20" t="s">
        <v>43</v>
      </c>
      <c r="G29" s="20" t="s">
        <v>91</v>
      </c>
      <c r="H29" s="20" t="s">
        <v>48</v>
      </c>
      <c r="I29" s="20">
        <v>1.04</v>
      </c>
      <c r="J29" s="20" t="s">
        <v>49</v>
      </c>
      <c r="K29" s="20" t="s">
        <v>50</v>
      </c>
      <c r="L29" s="20">
        <v>93</v>
      </c>
      <c r="M29" s="20">
        <v>11.76</v>
      </c>
      <c r="N29" s="20">
        <v>10.4</v>
      </c>
      <c r="O29" s="20">
        <v>-41.6</v>
      </c>
      <c r="P29" s="20">
        <v>-92</v>
      </c>
      <c r="Q29" s="20">
        <v>-7</v>
      </c>
      <c r="R29" s="20">
        <v>45</v>
      </c>
    </row>
    <row r="30" spans="1:21" x14ac:dyDescent="0.25">
      <c r="A30" s="20" t="s">
        <v>51</v>
      </c>
      <c r="B30" s="20" t="s">
        <v>43</v>
      </c>
      <c r="C30" s="20" t="s">
        <v>81</v>
      </c>
      <c r="D30" s="20" t="s">
        <v>48</v>
      </c>
      <c r="E30" s="20" t="s">
        <v>83</v>
      </c>
      <c r="F30" s="20" t="s">
        <v>43</v>
      </c>
      <c r="G30" s="20" t="s">
        <v>84</v>
      </c>
      <c r="H30" s="20" t="s">
        <v>45</v>
      </c>
      <c r="I30" s="20">
        <v>0.67</v>
      </c>
      <c r="J30" s="20" t="s">
        <v>49</v>
      </c>
      <c r="K30" s="20" t="s">
        <v>50</v>
      </c>
      <c r="L30" s="20">
        <v>13</v>
      </c>
      <c r="M30" s="20">
        <v>20.89</v>
      </c>
      <c r="N30" s="20">
        <v>6.7</v>
      </c>
      <c r="O30" s="20">
        <v>-111.2</v>
      </c>
      <c r="P30" s="20">
        <v>-355</v>
      </c>
      <c r="Q30" s="20">
        <v>17</v>
      </c>
      <c r="R30" s="20"/>
    </row>
    <row r="31" spans="1:21" x14ac:dyDescent="0.25">
      <c r="A31" s="20" t="s">
        <v>51</v>
      </c>
      <c r="B31" s="20" t="s">
        <v>43</v>
      </c>
      <c r="C31" s="20" t="s">
        <v>44</v>
      </c>
      <c r="D31" s="20" t="s">
        <v>45</v>
      </c>
      <c r="E31" s="20" t="s">
        <v>46</v>
      </c>
      <c r="F31" s="20" t="s">
        <v>43</v>
      </c>
      <c r="G31" s="20" t="s">
        <v>47</v>
      </c>
      <c r="H31" s="20" t="s">
        <v>48</v>
      </c>
      <c r="I31" s="20">
        <v>1.23</v>
      </c>
      <c r="J31" s="20" t="s">
        <v>49</v>
      </c>
      <c r="K31" s="20" t="s">
        <v>52</v>
      </c>
      <c r="L31" s="20">
        <v>92</v>
      </c>
      <c r="M31" s="20">
        <v>8.44</v>
      </c>
      <c r="N31" s="20">
        <v>10.199999999999999</v>
      </c>
      <c r="O31" s="20">
        <v>20.100000000000001</v>
      </c>
      <c r="P31" s="20">
        <v>-45</v>
      </c>
      <c r="Q31" s="20">
        <v>-4</v>
      </c>
      <c r="R31" s="20"/>
    </row>
    <row r="32" spans="1:21" x14ac:dyDescent="0.25">
      <c r="A32" s="8" t="s">
        <v>51</v>
      </c>
      <c r="B32" s="8" t="s">
        <v>43</v>
      </c>
      <c r="C32" s="8" t="s">
        <v>44</v>
      </c>
      <c r="D32" s="8" t="s">
        <v>45</v>
      </c>
      <c r="E32" s="8" t="s">
        <v>53</v>
      </c>
      <c r="F32" s="8" t="s">
        <v>43</v>
      </c>
      <c r="G32" s="8" t="s">
        <v>54</v>
      </c>
      <c r="H32" s="8" t="s">
        <v>48</v>
      </c>
      <c r="I32" s="8">
        <v>1.29</v>
      </c>
      <c r="J32" s="8" t="s">
        <v>49</v>
      </c>
      <c r="K32" s="8" t="s">
        <v>52</v>
      </c>
      <c r="L32" s="8">
        <v>85</v>
      </c>
      <c r="M32" s="8">
        <v>10.65</v>
      </c>
      <c r="N32" s="8">
        <v>5.7</v>
      </c>
      <c r="O32" s="8">
        <v>81.599999999999994</v>
      </c>
      <c r="P32" s="8">
        <v>250</v>
      </c>
      <c r="Q32" s="8">
        <v>19</v>
      </c>
      <c r="R32" s="8"/>
    </row>
    <row r="33" spans="1:18" x14ac:dyDescent="0.25">
      <c r="A33" s="20" t="s">
        <v>51</v>
      </c>
      <c r="B33" s="20" t="s">
        <v>43</v>
      </c>
      <c r="C33" s="20" t="s">
        <v>47</v>
      </c>
      <c r="D33" s="20" t="s">
        <v>48</v>
      </c>
      <c r="E33" s="20" t="s">
        <v>85</v>
      </c>
      <c r="F33" s="20" t="s">
        <v>43</v>
      </c>
      <c r="G33" s="20" t="s">
        <v>44</v>
      </c>
      <c r="H33" s="20" t="s">
        <v>45</v>
      </c>
      <c r="I33" s="20">
        <v>0.88</v>
      </c>
      <c r="J33" s="20" t="s">
        <v>49</v>
      </c>
      <c r="K33" s="20" t="s">
        <v>50</v>
      </c>
      <c r="L33" s="20">
        <v>8</v>
      </c>
      <c r="M33" s="20">
        <v>9.83</v>
      </c>
      <c r="N33" s="20">
        <v>5.6</v>
      </c>
      <c r="O33" s="20">
        <v>-92.8</v>
      </c>
      <c r="P33" s="20">
        <v>-325</v>
      </c>
      <c r="Q33" s="20">
        <v>19</v>
      </c>
      <c r="R33" s="20">
        <v>25</v>
      </c>
    </row>
    <row r="34" spans="1:18" x14ac:dyDescent="0.25">
      <c r="A34" s="20" t="s">
        <v>51</v>
      </c>
      <c r="B34" s="20" t="s">
        <v>43</v>
      </c>
      <c r="C34" s="20" t="s">
        <v>47</v>
      </c>
      <c r="D34" s="20" t="s">
        <v>48</v>
      </c>
      <c r="E34" s="20" t="s">
        <v>83</v>
      </c>
      <c r="F34" s="20" t="s">
        <v>43</v>
      </c>
      <c r="G34" s="20" t="s">
        <v>84</v>
      </c>
      <c r="H34" s="20" t="s">
        <v>45</v>
      </c>
      <c r="I34" s="20">
        <v>0.8</v>
      </c>
      <c r="J34" s="20" t="s">
        <v>49</v>
      </c>
      <c r="K34" s="20" t="s">
        <v>50</v>
      </c>
      <c r="L34" s="20">
        <v>11</v>
      </c>
      <c r="M34" s="20">
        <v>10.46</v>
      </c>
      <c r="N34" s="20">
        <v>8.9</v>
      </c>
      <c r="O34" s="20">
        <v>-93.8</v>
      </c>
      <c r="P34" s="20">
        <v>-378</v>
      </c>
      <c r="Q34" s="20">
        <v>23</v>
      </c>
      <c r="R34" s="20">
        <v>13</v>
      </c>
    </row>
    <row r="35" spans="1:18" x14ac:dyDescent="0.25">
      <c r="A35" s="20" t="s">
        <v>92</v>
      </c>
      <c r="B35" s="20" t="s">
        <v>43</v>
      </c>
      <c r="C35" s="20" t="s">
        <v>54</v>
      </c>
      <c r="D35" s="20" t="s">
        <v>48</v>
      </c>
      <c r="E35" s="20" t="s">
        <v>83</v>
      </c>
      <c r="F35" s="20" t="s">
        <v>43</v>
      </c>
      <c r="G35" s="20" t="s">
        <v>84</v>
      </c>
      <c r="H35" s="20" t="s">
        <v>45</v>
      </c>
      <c r="I35" s="20">
        <v>0.93</v>
      </c>
      <c r="J35" s="20" t="s">
        <v>49</v>
      </c>
      <c r="K35" s="20" t="s">
        <v>50</v>
      </c>
      <c r="L35" s="20">
        <v>10</v>
      </c>
      <c r="M35" s="20">
        <v>12.46</v>
      </c>
      <c r="N35" s="20">
        <v>5.4</v>
      </c>
      <c r="O35" s="20">
        <v>-57.4</v>
      </c>
      <c r="P35" s="20">
        <v>-52</v>
      </c>
      <c r="Q35" s="20">
        <v>3</v>
      </c>
      <c r="R35" s="20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CPP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Wei Wei</dc:creator>
  <cp:lastModifiedBy>Mistry, Nikhil</cp:lastModifiedBy>
  <dcterms:created xsi:type="dcterms:W3CDTF">2024-05-21T09:29:39Z</dcterms:created>
  <dcterms:modified xsi:type="dcterms:W3CDTF">2024-07-09T15:50:03Z</dcterms:modified>
</cp:coreProperties>
</file>